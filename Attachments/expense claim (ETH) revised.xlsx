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https://imperiallondon-my.sharepoint.com/personal/ss17017_ic_ac_uk/Documents/Attachments/"/>
    </mc:Choice>
  </mc:AlternateContent>
  <xr:revisionPtr revIDLastSave="71" documentId="8_{C1CA7B28-6A01-48B2-B9B8-C520522C03F5}" xr6:coauthVersionLast="46" xr6:coauthVersionMax="47" xr10:uidLastSave="{46B5E6EB-1570-4423-BE0C-0E04DB98D8B8}"/>
  <bookViews>
    <workbookView xWindow="-120" yWindow="-120" windowWidth="19440" windowHeight="11640" xr2:uid="{00000000-000D-0000-FFFF-FFFF00000000}"/>
  </bookViews>
  <sheets>
    <sheet name="Portrait" sheetId="4" r:id="rId1"/>
  </sheets>
  <definedNames>
    <definedName name="Analysis">#REF!</definedName>
    <definedName name="_xlnm.Print_Area" localSheetId="0">Portrait!$B$1:$N$78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2" i="4" l="1"/>
  <c r="L52" i="4"/>
  <c r="X51" i="4"/>
  <c r="L51" i="4"/>
  <c r="X50" i="4"/>
  <c r="L50" i="4"/>
  <c r="X55" i="4"/>
  <c r="L55" i="4"/>
  <c r="X54" i="4"/>
  <c r="L54" i="4"/>
  <c r="X53" i="4"/>
  <c r="L53" i="4"/>
  <c r="L57" i="4"/>
  <c r="X57" i="4"/>
  <c r="L26" i="4"/>
  <c r="L25" i="4"/>
  <c r="L24" i="4"/>
  <c r="L23" i="4"/>
  <c r="L22" i="4"/>
  <c r="L21" i="4"/>
  <c r="L19" i="4"/>
  <c r="L20" i="4"/>
  <c r="L17" i="4"/>
  <c r="L15" i="4"/>
  <c r="X18" i="4"/>
  <c r="L18" i="4"/>
  <c r="X16" i="4"/>
  <c r="L16" i="4"/>
  <c r="J34" i="4"/>
  <c r="L34" i="4" s="1"/>
  <c r="J33" i="4"/>
  <c r="L33" i="4" s="1"/>
  <c r="J32" i="4"/>
  <c r="X76" i="4"/>
  <c r="X75" i="4"/>
  <c r="X74" i="4"/>
  <c r="X73" i="4"/>
  <c r="X72" i="4"/>
  <c r="X71" i="4"/>
  <c r="X70" i="4"/>
  <c r="X69" i="4"/>
  <c r="X68" i="4"/>
  <c r="X67" i="4"/>
  <c r="X66" i="4"/>
  <c r="X65" i="4"/>
  <c r="X64" i="4"/>
  <c r="X63" i="4"/>
  <c r="N63" i="4"/>
  <c r="X62" i="4"/>
  <c r="X61" i="4"/>
  <c r="X60" i="4"/>
  <c r="X59" i="4"/>
  <c r="J59" i="4"/>
  <c r="X58" i="4"/>
  <c r="L58" i="4"/>
  <c r="X56" i="4"/>
  <c r="L56" i="4"/>
  <c r="X49" i="4"/>
  <c r="L49" i="4"/>
  <c r="X48" i="4"/>
  <c r="X47" i="4"/>
  <c r="X46" i="4"/>
  <c r="X45" i="4"/>
  <c r="X44" i="4"/>
  <c r="J44" i="4"/>
  <c r="X43" i="4"/>
  <c r="L43" i="4"/>
  <c r="X42" i="4"/>
  <c r="L42" i="4"/>
  <c r="X41" i="4"/>
  <c r="L41" i="4"/>
  <c r="X40" i="4"/>
  <c r="L40" i="4"/>
  <c r="X39" i="4"/>
  <c r="X38" i="4"/>
  <c r="X37" i="4"/>
  <c r="X36" i="4"/>
  <c r="X35" i="4"/>
  <c r="X34" i="4"/>
  <c r="X33" i="4"/>
  <c r="X32" i="4"/>
  <c r="X31" i="4"/>
  <c r="X30" i="4"/>
  <c r="X29" i="4"/>
  <c r="X28" i="4"/>
  <c r="X27" i="4"/>
  <c r="J27" i="4"/>
  <c r="X26" i="4"/>
  <c r="X15" i="4"/>
  <c r="X14" i="4"/>
  <c r="L14" i="4"/>
  <c r="X13" i="4"/>
  <c r="L13" i="4"/>
  <c r="X12" i="4"/>
  <c r="L32" i="4"/>
  <c r="N50" i="4" l="1" a="1"/>
  <c r="N50" i="4" s="1"/>
  <c r="N51" i="4" a="1"/>
  <c r="N51" i="4" s="1"/>
  <c r="N52" i="4" a="1"/>
  <c r="N52" i="4" s="1"/>
  <c r="N53" i="4" a="1"/>
  <c r="N53" i="4" s="1"/>
  <c r="N54" i="4" a="1"/>
  <c r="N54" i="4" s="1"/>
  <c r="N55" i="4" a="1"/>
  <c r="N55" i="4" s="1"/>
  <c r="N57" i="4" a="1"/>
  <c r="N57" i="4" s="1"/>
  <c r="N16" i="4" a="1"/>
  <c r="N16" i="4" s="1"/>
  <c r="N15" i="4" a="1"/>
  <c r="N15" i="4" s="1"/>
  <c r="N17" i="4" a="1"/>
  <c r="N17" i="4" s="1"/>
  <c r="N19" i="4" a="1"/>
  <c r="N19" i="4" s="1"/>
  <c r="N21" i="4" a="1"/>
  <c r="N21" i="4" s="1"/>
  <c r="N22" i="4" a="1"/>
  <c r="N22" i="4" s="1"/>
  <c r="N23" i="4" a="1"/>
  <c r="N23" i="4" s="1"/>
  <c r="N24" i="4" a="1"/>
  <c r="N24" i="4" s="1"/>
  <c r="N25" i="4" a="1"/>
  <c r="N25" i="4" s="1"/>
  <c r="N26" i="4" a="1"/>
  <c r="N26" i="4" s="1"/>
  <c r="N20" i="4" a="1"/>
  <c r="N20" i="4" s="1"/>
  <c r="N18" i="4" a="1"/>
  <c r="N18" i="4" s="1"/>
  <c r="N40" i="4"/>
  <c r="N58" i="4" a="1"/>
  <c r="N58" i="4" s="1"/>
  <c r="N49" i="4"/>
  <c r="N13" i="4"/>
  <c r="N41" i="4" a="1"/>
  <c r="N41" i="4" s="1"/>
  <c r="N42" i="4" a="1"/>
  <c r="N42" i="4" s="1"/>
  <c r="N33" i="4" a="1"/>
  <c r="N33" i="4" s="1"/>
  <c r="J35" i="4"/>
  <c r="J62" i="4" s="1"/>
  <c r="J64" i="4" s="1"/>
  <c r="N32" i="4"/>
  <c r="N34" i="4" a="1"/>
  <c r="N34" i="4" s="1"/>
  <c r="N43" i="4" a="1"/>
  <c r="N43" i="4" s="1"/>
  <c r="N14" i="4" a="1"/>
  <c r="N14" i="4" s="1"/>
  <c r="N56" i="4" a="1"/>
  <c r="N56" i="4" s="1"/>
  <c r="N44" i="4" l="1"/>
  <c r="N35" i="4"/>
  <c r="N59" i="4"/>
  <c r="N27" i="4"/>
  <c r="N62" i="4" l="1"/>
  <c r="N64" i="4" s="1"/>
</calcChain>
</file>

<file path=xl/sharedStrings.xml><?xml version="1.0" encoding="utf-8"?>
<sst xmlns="http://schemas.openxmlformats.org/spreadsheetml/2006/main" count="485" uniqueCount="292">
  <si>
    <t xml:space="preserve">This Excel form may be saved to your hard drive and completed at your computer, but then must be printed out, signed, receipts attached, authorised, stamped  and sent by internal post to the Expenses Office, Sherfeld Building </t>
  </si>
  <si>
    <t>Expense Claim - E1</t>
  </si>
  <si>
    <t>VAT =</t>
  </si>
  <si>
    <t>v1.1</t>
  </si>
  <si>
    <t>Title and full name:</t>
  </si>
  <si>
    <t>Samuel Stark</t>
  </si>
  <si>
    <t>As you complete this form cells will become shaded light red to help indicate where data needs to be entered</t>
  </si>
  <si>
    <t>Analysis Code List</t>
  </si>
  <si>
    <t>College Identifier
(CID Number):</t>
  </si>
  <si>
    <t>The section below must be completed by students, casual staff and visitors to the college.
For employees, this information is obtained from HR and payroll.</t>
  </si>
  <si>
    <t>Income tax? (mark with a cross)</t>
  </si>
  <si>
    <t>Purpose of claim:</t>
  </si>
  <si>
    <t>Date of birth:</t>
  </si>
  <si>
    <t>Bank Name:</t>
  </si>
  <si>
    <t>Barclays</t>
  </si>
  <si>
    <t xml:space="preserve">This list contains only the codes eligible for use on expense claims.  </t>
  </si>
  <si>
    <t>Visit to ETH Zürich, Forschungsinstitut für Mathematik</t>
  </si>
  <si>
    <t>Home address:</t>
  </si>
  <si>
    <t>Bank Branch:</t>
  </si>
  <si>
    <t>Camden High Street</t>
  </si>
  <si>
    <t xml:space="preserve">A full list can be downloaded from the finance division's intranet pages. </t>
  </si>
  <si>
    <t xml:space="preserve">28 Curran House </t>
  </si>
  <si>
    <t>Sort code:
(or SWIFT)</t>
  </si>
  <si>
    <t>20 - 44 - 91</t>
  </si>
  <si>
    <t>Lucan Place</t>
  </si>
  <si>
    <t>Account No.:
(or IBAN):</t>
  </si>
  <si>
    <t>London</t>
  </si>
  <si>
    <t>Post Code:</t>
  </si>
  <si>
    <t>SW3 3PG</t>
  </si>
  <si>
    <t>Travel (general)</t>
  </si>
  <si>
    <t>TRAVEL General</t>
  </si>
  <si>
    <t>Date(s)</t>
  </si>
  <si>
    <t>Mode</t>
  </si>
  <si>
    <t>Return?</t>
  </si>
  <si>
    <t>From</t>
  </si>
  <si>
    <t>To</t>
  </si>
  <si>
    <t>Foreign Currency</t>
  </si>
  <si>
    <t xml:space="preserve">Sterling total (£) </t>
  </si>
  <si>
    <t>Tick if
Non UK/EU
Travel</t>
  </si>
  <si>
    <t>Analysis Code</t>
  </si>
  <si>
    <t>Sub Total
(AP Use Only)</t>
  </si>
  <si>
    <t>AIR TRAVEL (UK/EU)</t>
  </si>
  <si>
    <t>AIR TRAVELFALSE</t>
  </si>
  <si>
    <t>AIR TRAVEL</t>
  </si>
  <si>
    <t>27/08/21,15/09/21</t>
  </si>
  <si>
    <t>Air Travel</t>
  </si>
  <si>
    <t xml:space="preserve">London </t>
  </si>
  <si>
    <t>Zürich</t>
  </si>
  <si>
    <t>AIR TRAVEL (Non UK/EU))</t>
  </si>
  <si>
    <t>AIR TRAVELTRUE</t>
  </si>
  <si>
    <t>RAIL</t>
  </si>
  <si>
    <t>Rail</t>
  </si>
  <si>
    <t>Aadorf</t>
  </si>
  <si>
    <t>RAIL (UK/EU)</t>
  </si>
  <si>
    <t>RAILFALSE</t>
  </si>
  <si>
    <t>TAXI</t>
  </si>
  <si>
    <t>RAIL (Non UK/EU))</t>
  </si>
  <si>
    <t>RAILTRUE</t>
  </si>
  <si>
    <t>CAR HIRE</t>
  </si>
  <si>
    <t>Zürich Airport</t>
  </si>
  <si>
    <t>TAXIFALSE</t>
  </si>
  <si>
    <t>SUB-TOTAL: TRAVEL</t>
  </si>
  <si>
    <t>TAXITRUE</t>
  </si>
  <si>
    <t>↓↓↓↓COMMON TYPES↓↓↓↓</t>
  </si>
  <si>
    <t>ICIS Code</t>
  </si>
  <si>
    <t>Cost Centre:</t>
  </si>
  <si>
    <t>MAPM</t>
  </si>
  <si>
    <t>Activity / Project No.:</t>
  </si>
  <si>
    <t>G00000</t>
  </si>
  <si>
    <t>OTHER TRAVEL (UK/EU)</t>
  </si>
  <si>
    <t>OTHER TRAVELFLASE</t>
  </si>
  <si>
    <t>BOOKS</t>
  </si>
  <si>
    <t>OTHER TRAVEL (Non UK/EU))</t>
  </si>
  <si>
    <t>OTHER TRAVELTRUE</t>
  </si>
  <si>
    <t>CONFERENCE FEES</t>
  </si>
  <si>
    <t>Travel (car mileage)</t>
  </si>
  <si>
    <t>CAR PARKING FEES</t>
  </si>
  <si>
    <t>CAR PARKINGFALSE</t>
  </si>
  <si>
    <t>EQUIPMENT PURCHASE</t>
  </si>
  <si>
    <t>Date</t>
  </si>
  <si>
    <t>Number of miles</t>
  </si>
  <si>
    <t>Cost per mile (£)</t>
  </si>
  <si>
    <t>Tick if
Non UK/EU</t>
  </si>
  <si>
    <t>CAR PARKINGTRUE</t>
  </si>
  <si>
    <t>EXAMINATION FEES</t>
  </si>
  <si>
    <t>TRAVEL - INTER DEPARTMENTAL/SITES (UK)</t>
  </si>
  <si>
    <t>HOTEL / SUBSISTENCE</t>
  </si>
  <si>
    <t>INTERNET COST</t>
  </si>
  <si>
    <t>LAB SUPPLIES</t>
  </si>
  <si>
    <t>SUB-TOTAL: MILEAGE</t>
  </si>
  <si>
    <t>MOTOR MILEAGE</t>
  </si>
  <si>
    <t>MEMBERSHIP SUBS.</t>
  </si>
  <si>
    <t>MILEAGE (UK/EU)</t>
  </si>
  <si>
    <t>MILEAGEFALSE</t>
  </si>
  <si>
    <t>MOBILE CALLS/RENT</t>
  </si>
  <si>
    <t>MILEAGE (Non UK/EU))</t>
  </si>
  <si>
    <t>MILEAGETRUE</t>
  </si>
  <si>
    <t>OFFICE SUNDRIES</t>
  </si>
  <si>
    <t>Entertainment/ Hospitality</t>
  </si>
  <si>
    <t>PRIZES / AWARDS</t>
  </si>
  <si>
    <t>Name of principal guest</t>
  </si>
  <si>
    <t>Organisation represented or other description</t>
  </si>
  <si>
    <t>Total numbers present</t>
  </si>
  <si>
    <t>Tick if
Non-College Staff Present</t>
  </si>
  <si>
    <t>HOSPITALITY</t>
  </si>
  <si>
    <t>RENTS PAYABLE</t>
  </si>
  <si>
    <t>HOSPITALITY-EMPLOYEE ONLY</t>
  </si>
  <si>
    <t>HOSPITALITYFALSE</t>
  </si>
  <si>
    <t>SAFETY EXPENSES</t>
  </si>
  <si>
    <t>HOSPITALITY-STUDENTS/GUESTS</t>
  </si>
  <si>
    <t>HOSPITALITYTRUE</t>
  </si>
  <si>
    <t>SOFTWARE PURCHASES</t>
  </si>
  <si>
    <t>TRAINING / COURSE FEES</t>
  </si>
  <si>
    <t>↓↓↓↓↓OTHER TYPES↓↓↓↓↓</t>
  </si>
  <si>
    <t>SUB-TOTAL: ENTERTAINMENT / HOSPITALITY</t>
  </si>
  <si>
    <t>HOTEL, ACCOMMODATION &amp; SUBSISTENCE</t>
  </si>
  <si>
    <t>AV EQUIPMENT</t>
  </si>
  <si>
    <t>HOTEL, ACCOMMODATION &amp; SUBSISTENCE (UK/EU)</t>
  </si>
  <si>
    <t>HOTEL / SUBSISTENCEFALSE</t>
  </si>
  <si>
    <t>AV MATERIALS</t>
  </si>
  <si>
    <t>HOTEL, ACCOMMODATION &amp; SUBSISTENCE (Non UK/EU))</t>
  </si>
  <si>
    <t>HOTEL / SUBSISTENCETRUE</t>
  </si>
  <si>
    <t>CLEANING MATERIALS</t>
  </si>
  <si>
    <t>Subsistence / Hotels / Incidentals / Others</t>
  </si>
  <si>
    <t>TRAINING &amp; DEVELOPMENT</t>
  </si>
  <si>
    <t>CLOTHING &amp; UNIFORMS</t>
  </si>
  <si>
    <t>Expense Type</t>
  </si>
  <si>
    <t>Description</t>
  </si>
  <si>
    <t>COMPUTING EQUIP.</t>
  </si>
  <si>
    <t>Hotel / Subsistence</t>
  </si>
  <si>
    <t>Staying with family</t>
  </si>
  <si>
    <t>CONFERENCE FEES (UK/EU)</t>
  </si>
  <si>
    <t>CONFERENCE FEESFALSE</t>
  </si>
  <si>
    <t>COURIERS / FREIGHT</t>
  </si>
  <si>
    <t>CONFERENCE FEES (Non UK/EU))</t>
  </si>
  <si>
    <t>CONFERENCE FEESTRUE</t>
  </si>
  <si>
    <t>COURSE MATERIAL</t>
  </si>
  <si>
    <t>MEMBERSHIP SUBSCRIPTIONS PAYABLE</t>
  </si>
  <si>
    <t>FURNITURE PURCHASE</t>
  </si>
  <si>
    <t>HEALTH SCREENING</t>
  </si>
  <si>
    <t>GLASSWARE</t>
  </si>
  <si>
    <t>SUB-TOTAL: SUBSISTENCE / INCIDENTALS / OTHER</t>
  </si>
  <si>
    <t>SOFTWARE MAINTENANCE &amp; LICENCES</t>
  </si>
  <si>
    <t>SOFTWARE LICENCES</t>
  </si>
  <si>
    <t>LAUNDRY</t>
  </si>
  <si>
    <t>LABORATORY AND WORKSHOP SUPPLIES</t>
  </si>
  <si>
    <t>LIBRARY MUSIC</t>
  </si>
  <si>
    <t>OVERALL GROSS TOTAL CLAIMED</t>
  </si>
  <si>
    <t>LABORATORY SUPPLIES/CONSUMABLES</t>
  </si>
  <si>
    <t>LIBRARY PERIODICALS</t>
  </si>
  <si>
    <t>LESS: Advance received (if any)</t>
  </si>
  <si>
    <t>GLASSWARE &amp; PLASTICWARE</t>
  </si>
  <si>
    <t>PATENTS/ROYALTIES</t>
  </si>
  <si>
    <t>NET CLAIM / REFUND DUE</t>
  </si>
  <si>
    <t>ELECTRICAL / MECHANICAL SUPPLIES</t>
  </si>
  <si>
    <t>ELECTRICAL SUPPLIES</t>
  </si>
  <si>
    <t>PHOTOCOPYING</t>
  </si>
  <si>
    <t>HAND / POWER TOOLS</t>
  </si>
  <si>
    <t>PHOTOGRAPHY</t>
  </si>
  <si>
    <t>I have checked that:</t>
  </si>
  <si>
    <t>Main departmental authorisation</t>
  </si>
  <si>
    <t>I confirm that:</t>
  </si>
  <si>
    <t>Claimant's declaration</t>
  </si>
  <si>
    <t>WORKSHOP MATERIALS</t>
  </si>
  <si>
    <t>POSTAGES</t>
  </si>
  <si>
    <t>o  income tax issues have been considered and any potentially taxable items marked with a cross in the left hand column, above</t>
  </si>
  <si>
    <t>o  expenditure shown above has been incurred by me wholly, necessarily and exclusively for the purposes of the College's business</t>
  </si>
  <si>
    <t>PRINTING</t>
  </si>
  <si>
    <t>o  no private or family component has been charged to the College</t>
  </si>
  <si>
    <t>o  any monies advanced by the College have been deducted from the final claim</t>
  </si>
  <si>
    <t>EQUIPMENT AND HARDWARE</t>
  </si>
  <si>
    <t>PUBLICATION PRODUCTION</t>
  </si>
  <si>
    <t>o  receipts are attached and correspond to the claim</t>
  </si>
  <si>
    <t>o  re-imbursement only of actual costs is sought; there is no element of profit</t>
  </si>
  <si>
    <t xml:space="preserve">EQUIPMENT PURCHASE (under £100, unless approved by departmental manager) </t>
  </si>
  <si>
    <t>SAFETY TRAINING</t>
  </si>
  <si>
    <t>o  the costs claimed do not exceed the published rates / allowances</t>
  </si>
  <si>
    <t>o  no part of the claim relates to holidays or private business activities</t>
  </si>
  <si>
    <t>AV &amp; OTHER CONFERENCING EQUIPMENT</t>
  </si>
  <si>
    <t xml:space="preserve">SECURITY CONTRACTS </t>
  </si>
  <si>
    <t>o  the ICIS code(s) are valid and appropriate for expenditure of this type</t>
  </si>
  <si>
    <t>o  any cost relating to travel costs for my spouse, partner, family or others who are not employees engaged on College business have been deducated</t>
  </si>
  <si>
    <t>COMPUTER EQUIPMENT MAINTENANCE</t>
  </si>
  <si>
    <t>SECURITY EXPENSES</t>
  </si>
  <si>
    <t>signature</t>
  </si>
  <si>
    <t>Date:</t>
  </si>
  <si>
    <t>o  nothing included in this claim has been previously claimed from the College or from any other person</t>
  </si>
  <si>
    <t>OFFICE EXPENSES</t>
  </si>
  <si>
    <t>Name (print)</t>
  </si>
  <si>
    <t>signature:</t>
  </si>
  <si>
    <t>STATIONERY</t>
  </si>
  <si>
    <t>authorisation stamp</t>
  </si>
  <si>
    <t>TELEPHONE CALLS/RENT</t>
  </si>
  <si>
    <t>AUDIO-VISUAL MATERIALS</t>
  </si>
  <si>
    <t>VEHICLE EXPENSES</t>
  </si>
  <si>
    <t>Secondary departmental authorisation (Optional)</t>
  </si>
  <si>
    <t>NEW COURSE MATERIAL</t>
  </si>
  <si>
    <t>POSTAGE AND TELECOM EXPENSES</t>
  </si>
  <si>
    <t>GROUP POST / COURIERS / FREIGHT</t>
  </si>
  <si>
    <t>MOBILE PHONE CALLS/RENT</t>
  </si>
  <si>
    <t>OTHER EMPLOYEE/STUDENT EXPENSES</t>
  </si>
  <si>
    <t>EXAMINATION FEES/EXPENSES</t>
  </si>
  <si>
    <t>VEHICLES</t>
  </si>
  <si>
    <t>CLEANING</t>
  </si>
  <si>
    <t>FURNITURE</t>
  </si>
  <si>
    <t>LIBRARY EXPENDITURE</t>
  </si>
  <si>
    <t>LIBRARY PERIODICALS/NEWSPAPERS</t>
  </si>
  <si>
    <t>LIBRARY MUSIC CD'S / SCORES</t>
  </si>
  <si>
    <t>SAFETY</t>
  </si>
  <si>
    <t>ESTATES &amp; BUILDINGS</t>
  </si>
  <si>
    <t>SECURITY</t>
  </si>
  <si>
    <t>MISCELLANEOUS</t>
  </si>
  <si>
    <t>PATENTS/ROYALTIES PAYABLE</t>
  </si>
  <si>
    <t>HARDSHIP</t>
  </si>
  <si>
    <t>INELIGIBLE FOR EXPENSE CLAIMS</t>
  </si>
  <si>
    <t>ALL PAYROLL COSTS</t>
  </si>
  <si>
    <t>144601 etc</t>
  </si>
  <si>
    <t>CHEMICALS</t>
  </si>
  <si>
    <t>GASES</t>
  </si>
  <si>
    <t>CYLINDER RENTAL</t>
  </si>
  <si>
    <t>WORKSHOP BOUGHT-IN SERVICES</t>
  </si>
  <si>
    <t>EQUIPMENT PURCHASE &gt; £50000</t>
  </si>
  <si>
    <t>TEACHING EQUIPMENT PURCHASE</t>
  </si>
  <si>
    <t>COMPUTER EQUIPMENT PURCHASE</t>
  </si>
  <si>
    <t>CLEANING EQUIPMENT PURCHASE</t>
  </si>
  <si>
    <t>EQUIPMENT MAINTENANCE</t>
  </si>
  <si>
    <t>EQUIPMENT RENTAL</t>
  </si>
  <si>
    <t xml:space="preserve">COMPUTER  SOFTWARE AND EXPENSES </t>
  </si>
  <si>
    <t>IT SUPPORT</t>
  </si>
  <si>
    <t>NETWORK INSTALLATION / SERVICES</t>
  </si>
  <si>
    <t>WEB DESIGN AND MAINTENANCE</t>
  </si>
  <si>
    <t>BIOINFORMATICS STANDARD ACCESS</t>
  </si>
  <si>
    <t>SHORT COURSE MANAGEMENT FEE</t>
  </si>
  <si>
    <t>COMMISSIONS PAYABLE</t>
  </si>
  <si>
    <t>CLEANING CONTRACTS</t>
  </si>
  <si>
    <t>WINDOW CLEANING</t>
  </si>
  <si>
    <t>GENERAL WASTE DISPOSAL</t>
  </si>
  <si>
    <t>CLEANING AGENTS</t>
  </si>
  <si>
    <t>PEST CONTROL</t>
  </si>
  <si>
    <t xml:space="preserve">DEEP CLEANING CONTRACTS </t>
  </si>
  <si>
    <t>FURNITURE MAINTENANCE/REPAIRS</t>
  </si>
  <si>
    <t>FURNITURE RENTAL</t>
  </si>
  <si>
    <t>ADVERTISING AND PUBLIC RELATIONS</t>
  </si>
  <si>
    <t>ADVERTISING-STAFF</t>
  </si>
  <si>
    <t>ADVERTISING-COURSES</t>
  </si>
  <si>
    <t>ADVERTISING-DEPARTMENT</t>
  </si>
  <si>
    <t>ADVERTISING-STUDENTSHIPS</t>
  </si>
  <si>
    <t>LIBRARY BINDING</t>
  </si>
  <si>
    <t>INTER-LIBRARY LOANS</t>
  </si>
  <si>
    <t>LIBRARY SUNDRIES</t>
  </si>
  <si>
    <t>ELECTRICAL TESTING</t>
  </si>
  <si>
    <t>FIRE PRECAUTION</t>
  </si>
  <si>
    <t>RADIOACTIVE WASTE DISPOSAL</t>
  </si>
  <si>
    <t>TOXIC WASTE DISPOSAL</t>
  </si>
  <si>
    <t>CLINICAL/MEDICAL WASTE DISPOSAL</t>
  </si>
  <si>
    <t>VEHICLE PURCHASES</t>
  </si>
  <si>
    <t>INSURANCE</t>
  </si>
  <si>
    <t>INSURANCE CLAIMS</t>
  </si>
  <si>
    <t>MINOR WORK/MAINTENANCE</t>
  </si>
  <si>
    <t>MINOR WORKS RECHARGE TO CAPITAL PROJECT</t>
  </si>
  <si>
    <t>BUILDING WORK</t>
  </si>
  <si>
    <t>MECHANICAL WORK</t>
  </si>
  <si>
    <t>ELECTRICAL WORK</t>
  </si>
  <si>
    <t>PLUMBING WORK</t>
  </si>
  <si>
    <t>PAINTING &amp; DECORATING</t>
  </si>
  <si>
    <t>DEFECTS</t>
  </si>
  <si>
    <t>SIGNAGE</t>
  </si>
  <si>
    <t>GARDENING CONTRACTS</t>
  </si>
  <si>
    <t>MAINTENANCE CONTRACT-SHORT TERM</t>
  </si>
  <si>
    <t>GROUND RENT AND SERVICE CHARGES</t>
  </si>
  <si>
    <t>CARPENTRY</t>
  </si>
  <si>
    <t>DRAINS</t>
  </si>
  <si>
    <t>FIRE ALARMS</t>
  </si>
  <si>
    <t>LIGHTING MAINTENANCE</t>
  </si>
  <si>
    <t>HV MAINTENANCE</t>
  </si>
  <si>
    <t>CHILLERS MAINTENANCE</t>
  </si>
  <si>
    <t>LIFT MAINTENANCE</t>
  </si>
  <si>
    <t>TANK MAINTENANCE</t>
  </si>
  <si>
    <t>FUME CUPBOARD MAINTENANCE</t>
  </si>
  <si>
    <t>ACCESS CONTROL</t>
  </si>
  <si>
    <t>AUTOCLAVE MAINTENANCE</t>
  </si>
  <si>
    <t>ELECTRICITY</t>
  </si>
  <si>
    <t>GAS</t>
  </si>
  <si>
    <t>OIL HEATING</t>
  </si>
  <si>
    <t>STEAM HEATING</t>
  </si>
  <si>
    <t>BUSINESS RATES / COUNCIL TAX</t>
  </si>
  <si>
    <t>LICENCES</t>
  </si>
  <si>
    <t>OFFICE &amp; LAB MOVES / REMOVAL EXPENSES</t>
  </si>
  <si>
    <t>RELOCATION (should go via payroll)</t>
  </si>
  <si>
    <t>HORTICULTURE</t>
  </si>
  <si>
    <t>UNION SUBVENTION</t>
  </si>
  <si>
    <t>SUBSIDIARY COMPANY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</si>
</sst>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CHF&quot;\ #,##0.00;[Red]&quot;CHF&quot;\ \-#,##0.00"/>
    <numFmt numFmtId="165" formatCode="#,##0.00_ ;\-#,##0.00\ "/>
    <numFmt numFmtId="166" formatCode="dd/mm/yy;@"/>
  </numFmts>
  <fonts count="33">
    <font>
      <sz val="11"/>
      <color theme="1"/>
      <name val="Calibri"/>
      <family val="2"/>
      <scheme val="minor"/>
    </font>
    <font>
      <sz val="11"/>
      <color indexed="8"/>
      <name val="Calibri"/>
      <family val="2"/>
    </font>
    <font>
      <sz val="8"/>
      <color indexed="8"/>
      <name val="Arial"/>
      <family val="2"/>
    </font>
    <font>
      <b/>
      <sz val="8"/>
      <color indexed="8"/>
      <name val="Arial"/>
      <family val="2"/>
    </font>
    <font>
      <sz val="9"/>
      <color indexed="8"/>
      <name val="Arial"/>
      <family val="2"/>
    </font>
    <font>
      <b/>
      <sz val="12"/>
      <color indexed="8"/>
      <name val="Arial"/>
      <family val="2"/>
    </font>
    <font>
      <b/>
      <sz val="11"/>
      <color indexed="8"/>
      <name val="Arial"/>
      <family val="2"/>
    </font>
    <font>
      <sz val="11"/>
      <color indexed="8"/>
      <name val="Arial"/>
      <family val="2"/>
    </font>
    <font>
      <sz val="8"/>
      <color indexed="8"/>
      <name val="Calibri"/>
      <family val="2"/>
    </font>
    <font>
      <sz val="10"/>
      <color indexed="8"/>
      <name val="Arial"/>
      <family val="2"/>
    </font>
    <font>
      <b/>
      <sz val="14"/>
      <color indexed="8"/>
      <name val="Arial"/>
      <family val="2"/>
    </font>
    <font>
      <sz val="10"/>
      <name val="Geneva"/>
    </font>
    <font>
      <sz val="10"/>
      <name val="Arial"/>
      <family val="2"/>
    </font>
    <font>
      <b/>
      <u/>
      <sz val="20"/>
      <name val="Arial"/>
      <family val="2"/>
    </font>
    <font>
      <sz val="12"/>
      <color indexed="8"/>
      <name val="Arial"/>
      <family val="2"/>
    </font>
    <font>
      <sz val="12"/>
      <name val="Arial"/>
      <family val="2"/>
    </font>
    <font>
      <b/>
      <sz val="12"/>
      <name val="Arial"/>
      <family val="2"/>
    </font>
    <font>
      <sz val="10"/>
      <color indexed="8"/>
      <name val="Calibri"/>
      <family val="2"/>
    </font>
    <font>
      <b/>
      <sz val="12"/>
      <color indexed="10"/>
      <name val="Arial"/>
      <family val="2"/>
    </font>
    <font>
      <b/>
      <sz val="13"/>
      <color indexed="8"/>
      <name val="Arial"/>
      <family val="2"/>
    </font>
    <font>
      <sz val="11"/>
      <name val="Arial"/>
      <family val="2"/>
    </font>
    <font>
      <b/>
      <sz val="14"/>
      <name val="Arial"/>
      <family val="2"/>
    </font>
    <font>
      <sz val="14"/>
      <color indexed="8"/>
      <name val="Arial"/>
      <family val="2"/>
    </font>
    <font>
      <sz val="8"/>
      <color theme="1"/>
      <name val="Arial"/>
      <family val="2"/>
    </font>
    <font>
      <sz val="12"/>
      <color theme="1"/>
      <name val="Arial"/>
      <family val="2"/>
    </font>
    <font>
      <b/>
      <sz val="13"/>
      <color theme="1"/>
      <name val="Arial"/>
      <family val="2"/>
    </font>
    <font>
      <sz val="11"/>
      <color theme="0"/>
      <name val="Arial"/>
      <family val="2"/>
    </font>
    <font>
      <b/>
      <sz val="11"/>
      <color theme="0"/>
      <name val="Arial"/>
      <family val="2"/>
    </font>
    <font>
      <sz val="14"/>
      <color theme="1"/>
      <name val="Arial"/>
      <family val="2"/>
    </font>
    <font>
      <b/>
      <sz val="14"/>
      <color theme="1"/>
      <name val="Arial"/>
      <family val="2"/>
    </font>
    <font>
      <b/>
      <sz val="12"/>
      <color rgb="FF000000"/>
      <name val="Arial"/>
      <family val="2"/>
    </font>
    <font>
      <b/>
      <sz val="14"/>
      <color rgb="FF000000"/>
      <name val="Arial"/>
      <family val="2"/>
    </font>
    <font>
      <b/>
      <sz val="16"/>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51"/>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FFFF"/>
        <bgColor rgb="FF000000"/>
      </patternFill>
    </fill>
  </fills>
  <borders count="47">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ck">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ck">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ck">
        <color indexed="64"/>
      </right>
      <top style="thin">
        <color indexed="64"/>
      </top>
      <bottom style="thin">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ck">
        <color indexed="64"/>
      </right>
      <top style="thin">
        <color indexed="64"/>
      </top>
      <bottom/>
      <diagonal/>
    </border>
    <border>
      <left/>
      <right style="thick">
        <color indexed="64"/>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ck">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2" fontId="11" fillId="0" borderId="0"/>
    <xf numFmtId="43" fontId="1" fillId="0" borderId="0" applyFont="0" applyFill="0" applyBorder="0" applyAlignment="0" applyProtection="0"/>
    <xf numFmtId="0" fontId="12" fillId="0" borderId="0"/>
  </cellStyleXfs>
  <cellXfs count="257">
    <xf numFmtId="0" fontId="0" fillId="0" borderId="0" xfId="0"/>
    <xf numFmtId="0" fontId="2" fillId="0" borderId="0" xfId="0" applyFont="1"/>
    <xf numFmtId="0" fontId="4" fillId="0" borderId="0" xfId="0" applyFont="1"/>
    <xf numFmtId="0" fontId="3" fillId="2" borderId="0" xfId="0" applyFont="1" applyFill="1"/>
    <xf numFmtId="0" fontId="13" fillId="0" borderId="0" xfId="3" applyFont="1" applyAlignment="1">
      <alignment horizontal="left"/>
    </xf>
    <xf numFmtId="0" fontId="14" fillId="0" borderId="0" xfId="0" applyFont="1"/>
    <xf numFmtId="0" fontId="16" fillId="0" borderId="0" xfId="3" quotePrefix="1" applyFont="1" applyAlignment="1">
      <alignment horizontal="left"/>
    </xf>
    <xf numFmtId="0" fontId="16" fillId="0" borderId="0" xfId="3" applyFont="1"/>
    <xf numFmtId="0" fontId="16" fillId="0" borderId="0" xfId="3" applyFont="1" applyAlignment="1">
      <alignment horizontal="left"/>
    </xf>
    <xf numFmtId="0" fontId="15" fillId="0" borderId="0" xfId="3" applyFont="1"/>
    <xf numFmtId="0" fontId="14" fillId="0" borderId="0" xfId="3" applyFont="1"/>
    <xf numFmtId="0" fontId="15" fillId="0" borderId="0" xfId="3" applyFont="1" applyAlignment="1">
      <alignment vertical="top"/>
    </xf>
    <xf numFmtId="0" fontId="5" fillId="0" borderId="0" xfId="0" applyFont="1"/>
    <xf numFmtId="0" fontId="5" fillId="0" borderId="0" xfId="0" applyFont="1" applyAlignment="1">
      <alignment horizontal="left"/>
    </xf>
    <xf numFmtId="0" fontId="18" fillId="0" borderId="0" xfId="0" applyFont="1"/>
    <xf numFmtId="0" fontId="12" fillId="0" borderId="0" xfId="3"/>
    <xf numFmtId="9" fontId="2" fillId="2" borderId="0" xfId="0" applyNumberFormat="1" applyFont="1" applyFill="1" applyAlignment="1">
      <alignment horizontal="left"/>
    </xf>
    <xf numFmtId="0" fontId="14" fillId="2" borderId="1" xfId="0" applyFont="1" applyFill="1" applyBorder="1" applyProtection="1">
      <protection locked="0"/>
    </xf>
    <xf numFmtId="0" fontId="7" fillId="0" borderId="2" xfId="0" applyFont="1" applyBorder="1" applyAlignment="1" applyProtection="1">
      <alignment horizontal="center" vertical="center" wrapText="1"/>
      <protection locked="0"/>
    </xf>
    <xf numFmtId="0" fontId="7" fillId="2" borderId="2" xfId="0" applyFont="1" applyFill="1" applyBorder="1" applyAlignment="1" applyProtection="1">
      <alignment horizontal="center"/>
      <protection locked="0"/>
    </xf>
    <xf numFmtId="0" fontId="15" fillId="0" borderId="0" xfId="3" applyFont="1" applyAlignment="1">
      <alignment horizontal="left"/>
    </xf>
    <xf numFmtId="0" fontId="2" fillId="2" borderId="0" xfId="0" applyFont="1" applyFill="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0" xfId="0" applyFont="1" applyFill="1"/>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3" fillId="6" borderId="6" xfId="0" applyFont="1" applyFill="1" applyBorder="1" applyAlignment="1">
      <alignment wrapText="1"/>
    </xf>
    <xf numFmtId="0" fontId="23" fillId="6" borderId="7" xfId="0" applyFont="1" applyFill="1" applyBorder="1" applyAlignment="1">
      <alignment wrapText="1"/>
    </xf>
    <xf numFmtId="0" fontId="4" fillId="2" borderId="9" xfId="0" applyFont="1" applyFill="1" applyBorder="1" applyAlignment="1">
      <alignment horizontal="center"/>
    </xf>
    <xf numFmtId="0" fontId="4" fillId="2" borderId="0" xfId="0" applyFont="1" applyFill="1"/>
    <xf numFmtId="0" fontId="14" fillId="2" borderId="9" xfId="0" applyFont="1" applyFill="1" applyBorder="1" applyAlignment="1">
      <alignment horizontal="center"/>
    </xf>
    <xf numFmtId="0" fontId="14" fillId="2" borderId="10" xfId="0" applyFont="1" applyFill="1" applyBorder="1"/>
    <xf numFmtId="14" fontId="14" fillId="2" borderId="11" xfId="0" applyNumberFormat="1" applyFont="1" applyFill="1" applyBorder="1" applyAlignment="1">
      <alignment vertical="top" wrapText="1"/>
    </xf>
    <xf numFmtId="0" fontId="14" fillId="2" borderId="0" xfId="0" applyFont="1" applyFill="1"/>
    <xf numFmtId="0" fontId="24" fillId="6" borderId="12" xfId="0" applyFont="1" applyFill="1" applyBorder="1" applyAlignment="1">
      <alignment horizontal="right"/>
    </xf>
    <xf numFmtId="0" fontId="25" fillId="6" borderId="13" xfId="0" applyFont="1" applyFill="1" applyBorder="1" applyProtection="1">
      <protection locked="0"/>
    </xf>
    <xf numFmtId="0" fontId="2" fillId="2" borderId="9" xfId="0" applyFont="1" applyFill="1" applyBorder="1"/>
    <xf numFmtId="0" fontId="7" fillId="2" borderId="14" xfId="0" applyFont="1" applyFill="1" applyBorder="1" applyAlignment="1">
      <alignment horizontal="center" vertical="center" wrapText="1"/>
    </xf>
    <xf numFmtId="0" fontId="2" fillId="2" borderId="2" xfId="0" applyFont="1" applyFill="1" applyBorder="1" applyAlignment="1">
      <alignment horizontal="center" vertical="center" wrapText="1"/>
    </xf>
    <xf numFmtId="166" fontId="7" fillId="2" borderId="14" xfId="0" applyNumberFormat="1" applyFont="1" applyFill="1" applyBorder="1" applyAlignment="1" applyProtection="1">
      <alignment horizontal="center"/>
      <protection locked="0"/>
    </xf>
    <xf numFmtId="2" fontId="7" fillId="2" borderId="2" xfId="0" applyNumberFormat="1" applyFont="1" applyFill="1" applyBorder="1" applyAlignment="1" applyProtection="1">
      <alignment horizontal="right"/>
      <protection locked="0"/>
    </xf>
    <xf numFmtId="2" fontId="26" fillId="2" borderId="2" xfId="0" applyNumberFormat="1" applyFont="1" applyFill="1" applyBorder="1" applyAlignment="1" applyProtection="1">
      <alignment horizontal="right"/>
      <protection locked="0"/>
    </xf>
    <xf numFmtId="43" fontId="21" fillId="7" borderId="2" xfId="0" applyNumberFormat="1" applyFont="1" applyFill="1" applyBorder="1" applyAlignment="1">
      <alignment vertical="center"/>
    </xf>
    <xf numFmtId="43" fontId="22" fillId="7" borderId="15" xfId="2" applyFont="1" applyFill="1" applyBorder="1" applyAlignment="1" applyProtection="1">
      <alignment horizontal="right"/>
    </xf>
    <xf numFmtId="43" fontId="6" fillId="2" borderId="0" xfId="0" applyNumberFormat="1" applyFont="1" applyFill="1"/>
    <xf numFmtId="43" fontId="10" fillId="2" borderId="0" xfId="0" applyNumberFormat="1" applyFont="1" applyFill="1"/>
    <xf numFmtId="43" fontId="10" fillId="7" borderId="2" xfId="2" applyFont="1" applyFill="1" applyBorder="1" applyAlignment="1" applyProtection="1">
      <alignment horizontal="right" vertical="center"/>
    </xf>
    <xf numFmtId="0" fontId="8" fillId="0" borderId="0" xfId="0" applyFont="1"/>
    <xf numFmtId="0" fontId="7" fillId="2" borderId="7" xfId="0" applyFont="1" applyFill="1" applyBorder="1" applyAlignment="1">
      <alignment horizontal="center" vertical="center"/>
    </xf>
    <xf numFmtId="43" fontId="7" fillId="2" borderId="0" xfId="0" applyNumberFormat="1" applyFont="1" applyFill="1"/>
    <xf numFmtId="0" fontId="7" fillId="2" borderId="11" xfId="0" applyFont="1" applyFill="1" applyBorder="1"/>
    <xf numFmtId="0" fontId="7" fillId="2" borderId="0" xfId="0" applyFont="1" applyFill="1"/>
    <xf numFmtId="0" fontId="0" fillId="8" borderId="0" xfId="0" applyFill="1"/>
    <xf numFmtId="0" fontId="6" fillId="3" borderId="16" xfId="0" applyFont="1" applyFill="1" applyBorder="1"/>
    <xf numFmtId="0" fontId="6" fillId="3" borderId="11" xfId="0" applyFont="1" applyFill="1" applyBorder="1"/>
    <xf numFmtId="0" fontId="6" fillId="3" borderId="14" xfId="0" applyFont="1" applyFill="1" applyBorder="1"/>
    <xf numFmtId="0" fontId="7" fillId="7" borderId="2" xfId="0" applyFont="1" applyFill="1" applyBorder="1" applyAlignment="1">
      <alignment horizontal="center" vertical="center" wrapText="1"/>
    </xf>
    <xf numFmtId="2" fontId="7" fillId="7" borderId="2" xfId="0" applyNumberFormat="1" applyFont="1" applyFill="1" applyBorder="1" applyAlignment="1">
      <alignment horizontal="right"/>
    </xf>
    <xf numFmtId="43" fontId="22" fillId="7" borderId="2" xfId="2" applyFont="1" applyFill="1" applyBorder="1" applyAlignment="1" applyProtection="1">
      <alignment horizontal="right"/>
    </xf>
    <xf numFmtId="43" fontId="6" fillId="2" borderId="17" xfId="0" applyNumberFormat="1" applyFont="1" applyFill="1" applyBorder="1"/>
    <xf numFmtId="0" fontId="9" fillId="0" borderId="14" xfId="0" applyFont="1" applyBorder="1" applyAlignment="1">
      <alignment horizontal="center" vertical="center" wrapText="1"/>
    </xf>
    <xf numFmtId="0" fontId="2" fillId="0" borderId="2" xfId="0" applyFont="1" applyBorder="1" applyAlignment="1">
      <alignment horizontal="center" vertical="center" wrapText="1"/>
    </xf>
    <xf numFmtId="2" fontId="27" fillId="2" borderId="2" xfId="0" applyNumberFormat="1" applyFont="1" applyFill="1" applyBorder="1" applyAlignment="1" applyProtection="1">
      <alignment horizontal="right"/>
      <protection locked="0"/>
    </xf>
    <xf numFmtId="43" fontId="6" fillId="2" borderId="4" xfId="0" applyNumberFormat="1" applyFont="1" applyFill="1" applyBorder="1"/>
    <xf numFmtId="43" fontId="10" fillId="2" borderId="4" xfId="0" applyNumberFormat="1" applyFont="1" applyFill="1" applyBorder="1" applyAlignment="1">
      <alignment vertical="center"/>
    </xf>
    <xf numFmtId="0" fontId="9" fillId="0" borderId="16" xfId="0" applyFont="1" applyBorder="1" applyAlignment="1">
      <alignment horizontal="center" vertical="center" wrapText="1"/>
    </xf>
    <xf numFmtId="166" fontId="9" fillId="2" borderId="14" xfId="0" applyNumberFormat="1" applyFont="1" applyFill="1" applyBorder="1" applyAlignment="1" applyProtection="1">
      <alignment horizontal="center"/>
      <protection locked="0"/>
    </xf>
    <xf numFmtId="0" fontId="2" fillId="2" borderId="18" xfId="0" applyFont="1" applyFill="1" applyBorder="1"/>
    <xf numFmtId="43" fontId="10" fillId="7" borderId="2" xfId="0" applyNumberFormat="1" applyFont="1" applyFill="1" applyBorder="1" applyAlignment="1">
      <alignment vertical="center"/>
    </xf>
    <xf numFmtId="0" fontId="2" fillId="2" borderId="7" xfId="0" applyFont="1" applyFill="1" applyBorder="1"/>
    <xf numFmtId="0" fontId="0" fillId="0" borderId="11" xfId="0" applyBorder="1"/>
    <xf numFmtId="0" fontId="7" fillId="0" borderId="0" xfId="0" applyFont="1" applyAlignment="1">
      <alignment horizontal="center"/>
    </xf>
    <xf numFmtId="0" fontId="7" fillId="2" borderId="0" xfId="0" applyFont="1" applyFill="1" applyAlignment="1">
      <alignment horizontal="center"/>
    </xf>
    <xf numFmtId="43" fontId="22" fillId="7" borderId="2" xfId="2" applyFont="1" applyFill="1" applyBorder="1" applyProtection="1"/>
    <xf numFmtId="43" fontId="10" fillId="7" borderId="2" xfId="2" applyFont="1" applyFill="1" applyBorder="1" applyProtection="1"/>
    <xf numFmtId="0" fontId="0" fillId="6" borderId="19" xfId="0" applyFill="1" applyBorder="1"/>
    <xf numFmtId="0" fontId="0" fillId="6" borderId="20" xfId="0" applyFill="1" applyBorder="1"/>
    <xf numFmtId="165" fontId="22" fillId="6" borderId="21" xfId="0" applyNumberFormat="1" applyFont="1" applyFill="1" applyBorder="1" applyProtection="1">
      <protection locked="0"/>
    </xf>
    <xf numFmtId="43" fontId="10" fillId="7" borderId="21" xfId="2" applyFont="1" applyFill="1" applyBorder="1" applyProtection="1"/>
    <xf numFmtId="43" fontId="22" fillId="7" borderId="22" xfId="2" applyFont="1" applyFill="1" applyBorder="1" applyProtection="1"/>
    <xf numFmtId="43" fontId="10" fillId="7" borderId="22" xfId="2" applyFont="1" applyFill="1" applyBorder="1" applyProtection="1"/>
    <xf numFmtId="0" fontId="2" fillId="6" borderId="7" xfId="0" applyFont="1" applyFill="1" applyBorder="1"/>
    <xf numFmtId="0" fontId="2" fillId="6" borderId="0" xfId="0" applyFont="1" applyFill="1"/>
    <xf numFmtId="0" fontId="2" fillId="6" borderId="17" xfId="0" applyFont="1" applyFill="1" applyBorder="1"/>
    <xf numFmtId="0" fontId="0" fillId="6" borderId="0" xfId="0" applyFill="1"/>
    <xf numFmtId="0" fontId="3" fillId="6" borderId="17" xfId="0" applyFont="1" applyFill="1" applyBorder="1" applyAlignment="1">
      <alignment horizontal="right"/>
    </xf>
    <xf numFmtId="0" fontId="2" fillId="6" borderId="3" xfId="0" applyFont="1" applyFill="1" applyBorder="1"/>
    <xf numFmtId="0" fontId="0" fillId="6" borderId="4" xfId="0" applyFill="1" applyBorder="1"/>
    <xf numFmtId="0" fontId="3" fillId="6" borderId="15" xfId="0" applyFont="1" applyFill="1" applyBorder="1" applyAlignment="1">
      <alignment horizontal="right"/>
    </xf>
    <xf numFmtId="0" fontId="2" fillId="6" borderId="17" xfId="0" applyFont="1" applyFill="1" applyBorder="1" applyAlignment="1">
      <alignment vertical="top"/>
    </xf>
    <xf numFmtId="0" fontId="2" fillId="6" borderId="0" xfId="0" applyFont="1" applyFill="1" applyAlignment="1">
      <alignment vertical="top"/>
    </xf>
    <xf numFmtId="0" fontId="2" fillId="6" borderId="9" xfId="0" applyFont="1" applyFill="1" applyBorder="1" applyAlignment="1">
      <alignment vertical="top"/>
    </xf>
    <xf numFmtId="0" fontId="2" fillId="6" borderId="6" xfId="0" applyFont="1" applyFill="1" applyBorder="1"/>
    <xf numFmtId="0" fontId="0" fillId="6" borderId="7" xfId="0" applyFill="1" applyBorder="1" applyAlignment="1">
      <alignment horizontal="right"/>
    </xf>
    <xf numFmtId="0" fontId="28" fillId="6" borderId="8" xfId="0" applyFont="1" applyFill="1" applyBorder="1" applyProtection="1">
      <protection locked="0"/>
    </xf>
    <xf numFmtId="0" fontId="2" fillId="6" borderId="16" xfId="0" applyFont="1" applyFill="1" applyBorder="1" applyAlignment="1">
      <alignment horizontal="left"/>
    </xf>
    <xf numFmtId="0" fontId="2" fillId="6" borderId="11" xfId="0" applyFont="1" applyFill="1" applyBorder="1" applyAlignment="1">
      <alignment horizontal="left"/>
    </xf>
    <xf numFmtId="0" fontId="22" fillId="6" borderId="8" xfId="0" applyFont="1" applyFill="1" applyBorder="1" applyProtection="1">
      <protection locked="0"/>
    </xf>
    <xf numFmtId="0" fontId="2" fillId="6" borderId="3" xfId="0" applyFont="1" applyFill="1" applyBorder="1" applyAlignment="1">
      <alignment vertical="center"/>
    </xf>
    <xf numFmtId="0" fontId="2" fillId="6" borderId="0" xfId="0" applyFont="1" applyFill="1" applyAlignment="1">
      <alignment vertical="center"/>
    </xf>
    <xf numFmtId="0" fontId="2" fillId="6" borderId="9" xfId="0" applyFont="1" applyFill="1" applyBorder="1" applyAlignment="1">
      <alignment vertical="center"/>
    </xf>
    <xf numFmtId="0" fontId="2" fillId="6" borderId="17" xfId="0" applyFont="1" applyFill="1" applyBorder="1" applyAlignment="1">
      <alignment vertical="center"/>
    </xf>
    <xf numFmtId="0" fontId="2" fillId="6" borderId="11" xfId="0" applyFont="1" applyFill="1" applyBorder="1"/>
    <xf numFmtId="0" fontId="2" fillId="6" borderId="4" xfId="0" applyFont="1" applyFill="1" applyBorder="1"/>
    <xf numFmtId="0" fontId="2" fillId="6" borderId="6" xfId="0" applyFont="1" applyFill="1" applyBorder="1" applyAlignment="1">
      <alignment vertical="center"/>
    </xf>
    <xf numFmtId="0" fontId="2" fillId="6" borderId="7" xfId="0" applyFont="1" applyFill="1" applyBorder="1" applyAlignment="1">
      <alignment vertical="center"/>
    </xf>
    <xf numFmtId="0" fontId="2" fillId="6" borderId="8" xfId="0" applyFont="1" applyFill="1" applyBorder="1" applyAlignment="1">
      <alignment vertical="center"/>
    </xf>
    <xf numFmtId="0" fontId="2" fillId="2" borderId="16" xfId="0" applyFont="1" applyFill="1" applyBorder="1" applyAlignment="1">
      <alignment vertical="center" textRotation="180" wrapText="1"/>
    </xf>
    <xf numFmtId="0" fontId="7" fillId="2" borderId="16" xfId="0" applyFont="1" applyFill="1" applyBorder="1" applyAlignment="1">
      <alignment horizontal="center" vertical="center" wrapText="1"/>
    </xf>
    <xf numFmtId="166" fontId="7" fillId="2" borderId="2" xfId="0" applyNumberFormat="1" applyFont="1" applyFill="1" applyBorder="1" applyProtection="1">
      <protection locked="0"/>
    </xf>
    <xf numFmtId="166" fontId="2" fillId="2" borderId="14" xfId="0" applyNumberFormat="1" applyFont="1" applyFill="1" applyBorder="1" applyAlignment="1" applyProtection="1">
      <alignment horizontal="center"/>
      <protection locked="0"/>
    </xf>
    <xf numFmtId="0" fontId="2" fillId="2" borderId="2" xfId="0" applyFont="1" applyFill="1" applyBorder="1" applyAlignment="1">
      <alignment vertical="center" textRotation="180" wrapText="1"/>
    </xf>
    <xf numFmtId="0" fontId="7" fillId="0" borderId="2" xfId="0" applyFont="1" applyBorder="1" applyAlignment="1" applyProtection="1">
      <alignment horizontal="center"/>
      <protection locked="0"/>
    </xf>
    <xf numFmtId="43" fontId="22" fillId="7" borderId="2" xfId="0" applyNumberFormat="1" applyFont="1" applyFill="1" applyBorder="1" applyAlignment="1">
      <alignment horizontal="right"/>
    </xf>
    <xf numFmtId="0" fontId="23" fillId="6" borderId="8" xfId="0" applyFont="1" applyFill="1" applyBorder="1" applyAlignment="1">
      <alignment horizontal="right" wrapText="1"/>
    </xf>
    <xf numFmtId="0" fontId="14" fillId="0" borderId="0" xfId="0" applyFont="1" applyProtection="1">
      <protection locked="0"/>
    </xf>
    <xf numFmtId="0" fontId="7" fillId="2" borderId="2"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7" fillId="2" borderId="16" xfId="0" applyFont="1" applyFill="1" applyBorder="1" applyAlignment="1">
      <alignment horizontal="center" vertical="center"/>
    </xf>
    <xf numFmtId="0" fontId="9" fillId="0" borderId="2" xfId="0" applyFont="1" applyBorder="1" applyAlignment="1">
      <alignment horizontal="center" vertical="center" wrapText="1"/>
    </xf>
    <xf numFmtId="0" fontId="2" fillId="2" borderId="14"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2" fillId="6" borderId="7" xfId="0" applyFont="1" applyFill="1" applyBorder="1" applyAlignment="1">
      <alignment horizontal="left"/>
    </xf>
    <xf numFmtId="164" fontId="7" fillId="2" borderId="2" xfId="0" applyNumberFormat="1" applyFont="1" applyFill="1" applyBorder="1" applyAlignment="1" applyProtection="1">
      <alignment horizontal="center"/>
      <protection locked="0"/>
    </xf>
    <xf numFmtId="164" fontId="7" fillId="0" borderId="2" xfId="0" applyNumberFormat="1" applyFont="1" applyBorder="1" applyAlignment="1" applyProtection="1">
      <alignment horizontal="center"/>
      <protection locked="0"/>
    </xf>
    <xf numFmtId="14" fontId="22" fillId="6" borderId="8" xfId="0" applyNumberFormat="1" applyFont="1" applyFill="1" applyBorder="1" applyProtection="1">
      <protection locked="0"/>
    </xf>
    <xf numFmtId="166" fontId="2" fillId="6" borderId="16" xfId="0" applyNumberFormat="1" applyFont="1" applyFill="1" applyBorder="1" applyAlignment="1" applyProtection="1">
      <alignment horizontal="center"/>
      <protection locked="0"/>
    </xf>
    <xf numFmtId="166" fontId="2" fillId="2" borderId="11" xfId="0" applyNumberFormat="1" applyFont="1" applyFill="1" applyBorder="1" applyAlignment="1" applyProtection="1">
      <alignment horizontal="center"/>
      <protection locked="0"/>
    </xf>
    <xf numFmtId="166" fontId="2" fillId="6" borderId="14" xfId="0" applyNumberFormat="1" applyFont="1" applyFill="1" applyBorder="1" applyAlignment="1" applyProtection="1">
      <alignment horizontal="center"/>
      <protection locked="0"/>
    </xf>
    <xf numFmtId="0" fontId="21" fillId="7" borderId="16" xfId="0" applyFont="1" applyFill="1" applyBorder="1" applyAlignment="1">
      <alignment horizontal="center" vertical="center"/>
    </xf>
    <xf numFmtId="0" fontId="21" fillId="7" borderId="1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 fillId="2" borderId="3" xfId="0" applyFont="1" applyFill="1" applyBorder="1" applyAlignment="1">
      <alignment horizontal="right" vertical="top" wrapText="1"/>
    </xf>
    <xf numFmtId="0" fontId="5" fillId="2" borderId="4" xfId="0" applyFont="1" applyFill="1" applyBorder="1" applyAlignment="1">
      <alignment horizontal="right" vertical="top" wrapText="1"/>
    </xf>
    <xf numFmtId="0" fontId="5" fillId="2" borderId="5" xfId="0" applyFont="1" applyFill="1" applyBorder="1" applyAlignment="1">
      <alignment horizontal="right" vertical="top" wrapText="1"/>
    </xf>
    <xf numFmtId="0" fontId="24" fillId="6" borderId="16" xfId="0" applyFont="1" applyFill="1" applyBorder="1" applyAlignment="1">
      <alignment horizontal="right" vertical="center" wrapText="1"/>
    </xf>
    <xf numFmtId="0" fontId="24" fillId="6" borderId="11" xfId="0" applyFont="1" applyFill="1" applyBorder="1" applyAlignment="1">
      <alignment horizontal="right" vertical="center" wrapText="1"/>
    </xf>
    <xf numFmtId="0" fontId="29" fillId="6" borderId="4" xfId="0" applyFont="1" applyFill="1" applyBorder="1" applyAlignment="1" applyProtection="1">
      <alignment horizontal="left" vertical="center" wrapText="1"/>
      <protection locked="0"/>
    </xf>
    <xf numFmtId="0" fontId="29" fillId="6" borderId="5" xfId="0" applyFont="1" applyFill="1" applyBorder="1" applyAlignment="1" applyProtection="1">
      <alignment horizontal="left" vertical="center" wrapText="1"/>
      <protection locked="0"/>
    </xf>
    <xf numFmtId="0" fontId="23" fillId="6" borderId="33" xfId="0" applyFont="1" applyFill="1" applyBorder="1" applyAlignment="1">
      <alignment horizontal="center" wrapText="1"/>
    </xf>
    <xf numFmtId="0" fontId="23" fillId="6" borderId="34" xfId="0" applyFont="1" applyFill="1" applyBorder="1" applyAlignment="1">
      <alignment horizontal="center" wrapText="1"/>
    </xf>
    <xf numFmtId="0" fontId="23" fillId="6" borderId="35" xfId="0" applyFont="1" applyFill="1" applyBorder="1" applyAlignment="1">
      <alignment horizontal="center" wrapText="1"/>
    </xf>
    <xf numFmtId="0" fontId="14" fillId="2" borderId="17" xfId="0" applyFont="1" applyFill="1" applyBorder="1" applyAlignment="1">
      <alignment horizontal="left" wrapText="1"/>
    </xf>
    <xf numFmtId="0" fontId="14" fillId="2" borderId="0" xfId="0" applyFont="1" applyFill="1" applyAlignment="1">
      <alignment horizontal="left" wrapText="1"/>
    </xf>
    <xf numFmtId="0" fontId="14" fillId="2" borderId="33" xfId="0" applyFont="1" applyFill="1" applyBorder="1" applyAlignment="1">
      <alignment horizontal="left" wrapText="1"/>
    </xf>
    <xf numFmtId="0" fontId="14" fillId="2" borderId="34" xfId="0" applyFont="1" applyFill="1" applyBorder="1" applyAlignment="1">
      <alignment horizontal="left" wrapText="1"/>
    </xf>
    <xf numFmtId="0" fontId="31" fillId="11" borderId="4" xfId="0" applyFont="1" applyFill="1" applyBorder="1" applyAlignment="1">
      <alignment horizontal="center" wrapText="1"/>
    </xf>
    <xf numFmtId="0" fontId="31" fillId="11" borderId="0" xfId="0" applyFont="1" applyFill="1" applyAlignment="1">
      <alignment horizontal="center" wrapText="1"/>
    </xf>
    <xf numFmtId="0" fontId="25" fillId="6" borderId="36" xfId="0" applyFont="1" applyFill="1" applyBorder="1" applyAlignment="1" applyProtection="1">
      <alignment horizontal="left"/>
      <protection locked="0"/>
    </xf>
    <xf numFmtId="0" fontId="25" fillId="6" borderId="37" xfId="0" applyFont="1" applyFill="1" applyBorder="1" applyAlignment="1" applyProtection="1">
      <alignment horizontal="left"/>
      <protection locked="0"/>
    </xf>
    <xf numFmtId="0" fontId="9" fillId="2" borderId="15" xfId="0" applyFont="1" applyFill="1" applyBorder="1" applyAlignment="1">
      <alignment horizontal="center" vertical="center" textRotation="180"/>
    </xf>
    <xf numFmtId="0" fontId="9" fillId="2" borderId="38" xfId="0" applyFont="1" applyFill="1" applyBorder="1" applyAlignment="1">
      <alignment horizontal="center" vertical="center" textRotation="180"/>
    </xf>
    <xf numFmtId="0" fontId="9" fillId="2" borderId="39" xfId="0" applyFont="1" applyFill="1" applyBorder="1" applyAlignment="1">
      <alignment horizontal="center" vertical="center" textRotation="180"/>
    </xf>
    <xf numFmtId="0" fontId="14" fillId="2" borderId="3"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31" xfId="0" applyFont="1" applyFill="1" applyBorder="1" applyAlignment="1">
      <alignment horizontal="left" vertical="top" wrapText="1"/>
    </xf>
    <xf numFmtId="0" fontId="24" fillId="6" borderId="16" xfId="0" applyFont="1" applyFill="1" applyBorder="1" applyAlignment="1">
      <alignment horizontal="right" vertical="top" wrapText="1"/>
    </xf>
    <xf numFmtId="0" fontId="24" fillId="6" borderId="11" xfId="0" applyFont="1" applyFill="1" applyBorder="1" applyAlignment="1">
      <alignment horizontal="right" vertical="top" wrapText="1"/>
    </xf>
    <xf numFmtId="0" fontId="32" fillId="11" borderId="11" xfId="0" applyFont="1" applyFill="1" applyBorder="1" applyAlignment="1">
      <alignment horizontal="center" vertical="center" wrapText="1"/>
    </xf>
    <xf numFmtId="0" fontId="32" fillId="11" borderId="27" xfId="0" applyFont="1" applyFill="1" applyBorder="1" applyAlignment="1">
      <alignment horizontal="center" vertical="center" wrapText="1"/>
    </xf>
    <xf numFmtId="0" fontId="0" fillId="10" borderId="40" xfId="0" applyFill="1" applyBorder="1" applyAlignment="1">
      <alignment horizontal="left" wrapText="1"/>
    </xf>
    <xf numFmtId="0" fontId="0" fillId="10" borderId="41" xfId="0" applyFill="1" applyBorder="1" applyAlignment="1">
      <alignment horizontal="left" wrapText="1"/>
    </xf>
    <xf numFmtId="0" fontId="0" fillId="10" borderId="42" xfId="0" applyFill="1" applyBorder="1" applyAlignment="1">
      <alignment horizontal="left" wrapText="1"/>
    </xf>
    <xf numFmtId="0" fontId="30" fillId="11" borderId="11" xfId="0" applyFont="1" applyFill="1" applyBorder="1" applyAlignment="1">
      <alignment horizontal="left" wrapText="1"/>
    </xf>
    <xf numFmtId="0" fontId="6" fillId="9" borderId="8" xfId="0" applyFont="1" applyFill="1" applyBorder="1" applyAlignment="1">
      <alignment horizontal="left"/>
    </xf>
    <xf numFmtId="0" fontId="6" fillId="9" borderId="22" xfId="0" applyFont="1" applyFill="1" applyBorder="1" applyAlignment="1">
      <alignment horizontal="left"/>
    </xf>
    <xf numFmtId="0" fontId="7" fillId="2" borderId="2" xfId="0" applyFont="1" applyFill="1" applyBorder="1" applyAlignment="1">
      <alignment horizontal="center" vertical="center" wrapText="1"/>
    </xf>
    <xf numFmtId="0" fontId="20" fillId="7" borderId="16"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19" fillId="2" borderId="28" xfId="0" applyFont="1" applyFill="1" applyBorder="1" applyAlignment="1" applyProtection="1">
      <alignment horizontal="left" vertical="top" wrapText="1"/>
      <protection locked="0"/>
    </xf>
    <xf numFmtId="0" fontId="19" fillId="2" borderId="29" xfId="0" applyFont="1" applyFill="1" applyBorder="1" applyAlignment="1" applyProtection="1">
      <alignment horizontal="left" vertical="top" wrapText="1"/>
      <protection locked="0"/>
    </xf>
    <xf numFmtId="0" fontId="19" fillId="2" borderId="30" xfId="0" applyFont="1" applyFill="1" applyBorder="1" applyAlignment="1" applyProtection="1">
      <alignment horizontal="left" vertical="top" wrapText="1"/>
      <protection locked="0"/>
    </xf>
    <xf numFmtId="0" fontId="14" fillId="2" borderId="4" xfId="0" applyFont="1" applyFill="1" applyBorder="1" applyAlignment="1">
      <alignment horizontal="left" wrapText="1"/>
    </xf>
    <xf numFmtId="0" fontId="14" fillId="2" borderId="7" xfId="0" applyFont="1" applyFill="1" applyBorder="1" applyAlignment="1">
      <alignment horizontal="left" wrapText="1"/>
    </xf>
    <xf numFmtId="0" fontId="31" fillId="11" borderId="7" xfId="0" applyFont="1" applyFill="1" applyBorder="1" applyAlignment="1">
      <alignment horizontal="center" wrapText="1"/>
    </xf>
    <xf numFmtId="0" fontId="19" fillId="2" borderId="24" xfId="0" applyFont="1" applyFill="1" applyBorder="1" applyAlignment="1" applyProtection="1">
      <alignment horizontal="left" vertical="top" wrapText="1"/>
      <protection locked="0"/>
    </xf>
    <xf numFmtId="0" fontId="19" fillId="2" borderId="25" xfId="0" applyFont="1" applyFill="1" applyBorder="1" applyAlignment="1" applyProtection="1">
      <alignment horizontal="left" vertical="top" wrapText="1"/>
      <protection locked="0"/>
    </xf>
    <xf numFmtId="0" fontId="19" fillId="2" borderId="26" xfId="0" applyFont="1" applyFill="1" applyBorder="1" applyAlignment="1" applyProtection="1">
      <alignment horizontal="left" vertical="top" wrapText="1"/>
      <protection locked="0"/>
    </xf>
    <xf numFmtId="0" fontId="15" fillId="0" borderId="0" xfId="3" applyFont="1" applyAlignment="1">
      <alignment horizontal="left"/>
    </xf>
    <xf numFmtId="0" fontId="10" fillId="2" borderId="17" xfId="0" applyFont="1" applyFill="1" applyBorder="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10" fillId="2" borderId="43"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32" xfId="0" applyFont="1" applyFill="1" applyBorder="1" applyAlignment="1" applyProtection="1">
      <alignment horizontal="center" vertical="center" wrapText="1"/>
      <protection locked="0"/>
    </xf>
    <xf numFmtId="0" fontId="14" fillId="2" borderId="44" xfId="0" applyFont="1" applyFill="1" applyBorder="1" applyAlignment="1">
      <alignment horizontal="left" vertical="top" wrapText="1"/>
    </xf>
    <xf numFmtId="0" fontId="0" fillId="0" borderId="45" xfId="0" applyBorder="1" applyAlignment="1"/>
    <xf numFmtId="0" fontId="0" fillId="0" borderId="46" xfId="0" applyBorder="1" applyAlignment="1"/>
    <xf numFmtId="0" fontId="14" fillId="2" borderId="11" xfId="0" applyFont="1" applyFill="1" applyBorder="1" applyAlignment="1">
      <alignment horizontal="left" wrapText="1"/>
    </xf>
    <xf numFmtId="14" fontId="29" fillId="0" borderId="11" xfId="0" applyNumberFormat="1" applyFont="1" applyBorder="1" applyAlignment="1" applyProtection="1">
      <alignment horizontal="center"/>
      <protection locked="0"/>
    </xf>
    <xf numFmtId="0" fontId="29" fillId="0" borderId="14" xfId="0" applyFont="1" applyBorder="1" applyAlignment="1" applyProtection="1">
      <alignment horizontal="center"/>
      <protection locked="0"/>
    </xf>
    <xf numFmtId="0" fontId="14" fillId="2" borderId="16" xfId="0" applyFont="1" applyFill="1" applyBorder="1" applyAlignment="1">
      <alignment horizontal="left"/>
    </xf>
    <xf numFmtId="0" fontId="14" fillId="2" borderId="11" xfId="0" applyFont="1" applyFill="1" applyBorder="1" applyAlignment="1">
      <alignment horizontal="left"/>
    </xf>
    <xf numFmtId="0" fontId="2" fillId="2" borderId="2" xfId="0" applyFont="1" applyFill="1" applyBorder="1" applyAlignment="1" applyProtection="1">
      <alignment horizontal="center"/>
      <protection locked="0"/>
    </xf>
    <xf numFmtId="0" fontId="10" fillId="2" borderId="11" xfId="0" applyFont="1" applyFill="1" applyBorder="1" applyAlignment="1" applyProtection="1">
      <alignment horizontal="center" vertical="center"/>
      <protection locked="0"/>
    </xf>
    <xf numFmtId="0" fontId="10" fillId="2" borderId="14" xfId="0" applyFont="1" applyFill="1" applyBorder="1" applyAlignment="1" applyProtection="1">
      <alignment horizontal="center" vertical="center"/>
      <protection locked="0"/>
    </xf>
    <xf numFmtId="0" fontId="7" fillId="2" borderId="16" xfId="0" applyFont="1" applyFill="1" applyBorder="1" applyAlignment="1">
      <alignment horizontal="center" vertical="center"/>
    </xf>
    <xf numFmtId="0" fontId="7" fillId="2" borderId="11" xfId="0" applyFont="1" applyFill="1" applyBorder="1" applyAlignment="1">
      <alignment horizontal="center" vertical="center"/>
    </xf>
    <xf numFmtId="0" fontId="2" fillId="0" borderId="16" xfId="0" applyFont="1" applyBorder="1" applyAlignment="1">
      <alignment horizontal="center" vertical="center" wrapText="1"/>
    </xf>
    <xf numFmtId="0" fontId="8" fillId="0" borderId="14" xfId="0" applyFont="1" applyBorder="1" applyAlignment="1">
      <alignment horizontal="center" wrapText="1"/>
    </xf>
    <xf numFmtId="0" fontId="9" fillId="0" borderId="2" xfId="0" applyFont="1" applyBorder="1" applyAlignment="1">
      <alignment horizontal="center" vertical="center" wrapText="1"/>
    </xf>
    <xf numFmtId="0" fontId="2" fillId="2" borderId="16" xfId="0" applyFont="1" applyFill="1" applyBorder="1" applyAlignment="1" applyProtection="1">
      <alignment horizontal="center"/>
      <protection locked="0"/>
    </xf>
    <xf numFmtId="0" fontId="2" fillId="2" borderId="14" xfId="0" applyFont="1" applyFill="1" applyBorder="1" applyAlignment="1" applyProtection="1">
      <alignment horizontal="center"/>
      <protection locked="0"/>
    </xf>
    <xf numFmtId="0" fontId="7" fillId="2" borderId="16"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6" fillId="3" borderId="14" xfId="0" applyFont="1" applyFill="1" applyBorder="1" applyAlignment="1">
      <alignment horizontal="left"/>
    </xf>
    <xf numFmtId="0" fontId="6" fillId="3" borderId="2" xfId="0" applyFont="1" applyFill="1" applyBorder="1" applyAlignment="1">
      <alignment horizontal="left"/>
    </xf>
    <xf numFmtId="0" fontId="7" fillId="2" borderId="7" xfId="0" applyFont="1" applyFill="1" applyBorder="1" applyAlignment="1">
      <alignment shrinkToFit="1"/>
    </xf>
    <xf numFmtId="0" fontId="0" fillId="0" borderId="7" xfId="0" applyBorder="1" applyAlignment="1">
      <alignment shrinkToFit="1"/>
    </xf>
    <xf numFmtId="0" fontId="6" fillId="5" borderId="14" xfId="0" applyFont="1" applyFill="1" applyBorder="1" applyAlignment="1">
      <alignment horizontal="left"/>
    </xf>
    <xf numFmtId="0" fontId="6" fillId="5" borderId="2" xfId="0" applyFont="1" applyFill="1" applyBorder="1" applyAlignment="1">
      <alignment horizontal="left"/>
    </xf>
    <xf numFmtId="0" fontId="6" fillId="4" borderId="14" xfId="0" applyFont="1" applyFill="1" applyBorder="1" applyAlignment="1">
      <alignment horizontal="left"/>
    </xf>
    <xf numFmtId="0" fontId="6" fillId="4" borderId="2" xfId="0" applyFont="1" applyFill="1" applyBorder="1" applyAlignment="1">
      <alignment horizontal="left"/>
    </xf>
    <xf numFmtId="0" fontId="17" fillId="0" borderId="16"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4" xfId="0" applyFont="1" applyBorder="1" applyAlignment="1">
      <alignment horizontal="center" vertical="center" wrapText="1"/>
    </xf>
    <xf numFmtId="0" fontId="28" fillId="6" borderId="11" xfId="0" applyFont="1" applyFill="1" applyBorder="1" applyAlignment="1" applyProtection="1">
      <alignment horizontal="center"/>
      <protection locked="0"/>
    </xf>
    <xf numFmtId="0" fontId="28" fillId="6" borderId="14" xfId="0" applyFont="1" applyFill="1" applyBorder="1" applyAlignment="1" applyProtection="1">
      <alignment horizontal="center"/>
      <protection locked="0"/>
    </xf>
    <xf numFmtId="0" fontId="22" fillId="6" borderId="7" xfId="0" applyFont="1" applyFill="1" applyBorder="1" applyAlignment="1" applyProtection="1">
      <alignment horizontal="center"/>
      <protection locked="0"/>
    </xf>
    <xf numFmtId="0" fontId="22" fillId="6" borderId="8" xfId="0" applyFont="1" applyFill="1" applyBorder="1" applyAlignment="1" applyProtection="1">
      <alignment horizontal="center"/>
      <protection locked="0"/>
    </xf>
    <xf numFmtId="0" fontId="2" fillId="6" borderId="6" xfId="0" applyFont="1" applyFill="1" applyBorder="1" applyAlignment="1">
      <alignment horizontal="left"/>
    </xf>
    <xf numFmtId="0" fontId="2" fillId="6" borderId="7" xfId="0" applyFont="1" applyFill="1" applyBorder="1" applyAlignment="1">
      <alignment horizontal="left"/>
    </xf>
    <xf numFmtId="0" fontId="2" fillId="6" borderId="17" xfId="0" applyFont="1" applyFill="1" applyBorder="1" applyAlignment="1">
      <alignment horizontal="left" vertical="top"/>
    </xf>
    <xf numFmtId="0" fontId="2" fillId="6" borderId="0" xfId="0" applyFont="1" applyFill="1" applyAlignment="1">
      <alignment horizontal="left" vertical="top"/>
    </xf>
    <xf numFmtId="0" fontId="2" fillId="6" borderId="9" xfId="0" applyFont="1" applyFill="1" applyBorder="1" applyAlignment="1">
      <alignment horizontal="left" vertical="top"/>
    </xf>
    <xf numFmtId="0" fontId="2" fillId="6" borderId="17" xfId="0" applyFont="1" applyFill="1" applyBorder="1" applyAlignment="1">
      <alignment horizontal="justify" vertical="top" wrapText="1"/>
    </xf>
    <xf numFmtId="0" fontId="0" fillId="6" borderId="0" xfId="0" applyFill="1" applyAlignment="1">
      <alignment horizontal="justify" vertical="top"/>
    </xf>
    <xf numFmtId="0" fontId="0" fillId="6" borderId="9" xfId="0" applyFill="1" applyBorder="1" applyAlignment="1">
      <alignment horizontal="justify" vertical="top"/>
    </xf>
    <xf numFmtId="0" fontId="2" fillId="6" borderId="0" xfId="0" applyFont="1" applyFill="1" applyAlignment="1">
      <alignment horizontal="justify" vertical="top" wrapText="1"/>
    </xf>
    <xf numFmtId="0" fontId="2" fillId="6" borderId="9" xfId="0" applyFont="1" applyFill="1" applyBorder="1" applyAlignment="1">
      <alignment horizontal="justify" vertical="top" wrapText="1"/>
    </xf>
    <xf numFmtId="0" fontId="2" fillId="6" borderId="17" xfId="0" applyFont="1" applyFill="1" applyBorder="1" applyAlignment="1">
      <alignment vertical="top" wrapText="1"/>
    </xf>
    <xf numFmtId="0" fontId="0" fillId="6" borderId="0" xfId="0" applyFill="1" applyAlignment="1">
      <alignment vertical="top" wrapText="1"/>
    </xf>
    <xf numFmtId="0" fontId="0" fillId="6" borderId="9" xfId="0" applyFill="1" applyBorder="1" applyAlignment="1">
      <alignment vertical="top" wrapText="1"/>
    </xf>
    <xf numFmtId="0" fontId="7" fillId="0" borderId="4" xfId="0" applyFont="1" applyBorder="1" applyAlignment="1">
      <alignment horizontal="right"/>
    </xf>
    <xf numFmtId="0" fontId="0" fillId="0" borderId="4" xfId="0" applyBorder="1" applyAlignment="1"/>
    <xf numFmtId="0" fontId="6" fillId="7" borderId="16" xfId="0" applyFont="1" applyFill="1" applyBorder="1" applyAlignment="1"/>
    <xf numFmtId="0" fontId="6" fillId="7" borderId="11" xfId="0" applyFont="1" applyFill="1" applyBorder="1" applyAlignment="1"/>
    <xf numFmtId="0" fontId="6" fillId="7" borderId="14" xfId="0" applyFont="1" applyFill="1" applyBorder="1" applyAlignment="1"/>
    <xf numFmtId="0" fontId="6" fillId="6" borderId="23" xfId="0" applyFont="1" applyFill="1" applyBorder="1" applyAlignment="1"/>
    <xf numFmtId="0" fontId="6" fillId="6" borderId="19" xfId="0" applyFont="1" applyFill="1" applyBorder="1" applyAlignment="1"/>
    <xf numFmtId="0" fontId="6" fillId="7" borderId="6" xfId="0" applyFont="1" applyFill="1" applyBorder="1" applyAlignment="1"/>
    <xf numFmtId="0" fontId="6" fillId="7" borderId="7" xfId="0" applyFont="1" applyFill="1" applyBorder="1" applyAlignment="1"/>
    <xf numFmtId="0" fontId="6" fillId="7" borderId="8" xfId="0" applyFont="1" applyFill="1" applyBorder="1" applyAlignment="1"/>
    <xf numFmtId="0" fontId="2" fillId="6" borderId="7" xfId="0" applyFont="1" applyFill="1" applyBorder="1" applyAlignment="1"/>
    <xf numFmtId="0" fontId="2" fillId="6" borderId="17" xfId="0" applyFont="1" applyFill="1" applyBorder="1" applyAlignment="1">
      <alignment horizontal="left" vertical="top" wrapText="1"/>
    </xf>
    <xf numFmtId="0" fontId="0" fillId="6" borderId="0" xfId="0" applyFill="1" applyAlignment="1">
      <alignment horizontal="left" vertical="top" wrapText="1"/>
    </xf>
    <xf numFmtId="0" fontId="0" fillId="6" borderId="9" xfId="0" applyFill="1" applyBorder="1" applyAlignment="1">
      <alignment horizontal="left" vertical="top" wrapText="1"/>
    </xf>
    <xf numFmtId="0" fontId="2" fillId="6" borderId="0" xfId="0" applyFont="1" applyFill="1" applyAlignment="1">
      <alignment vertical="top" wrapText="1"/>
    </xf>
    <xf numFmtId="0" fontId="2" fillId="6" borderId="9" xfId="0" applyFont="1" applyFill="1" applyBorder="1" applyAlignment="1">
      <alignment vertical="top" wrapText="1"/>
    </xf>
  </cellXfs>
  <cellStyles count="4">
    <cellStyle name="120" xfId="1" xr:uid="{00000000-0005-0000-0000-000000000000}"/>
    <cellStyle name="Comma 2" xfId="2" xr:uid="{00000000-0005-0000-0000-000001000000}"/>
    <cellStyle name="Normal" xfId="0" builtinId="0"/>
    <cellStyle name="Normal_Sheet1" xfId="3" xr:uid="{00000000-0005-0000-0000-000003000000}"/>
  </cellStyles>
  <dxfs count="134">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ctrlProps/ctrlProp1.xml><?xml version="1.0" encoding="utf-8"?>
<formControlPr xmlns="http://schemas.microsoft.com/office/spreadsheetml/2009/9/main" objectType="CheckBox" fmlaLink="$K$13" lockText="1" noThreeD="1"/>
</file>

<file path=xl/ctrlProps/ctrlProp2.xml><?xml version="1.0" encoding="utf-8"?>
<formControlPr xmlns="http://schemas.microsoft.com/office/spreadsheetml/2009/9/main" objectType="CheckBox" fmlaLink="$K$14" lockText="1" noThreeD="1"/>
</file>

<file path=xl/ctrlProps/ctrlProp3.xml><?xml version="1.0" encoding="utf-8"?>
<formControlPr xmlns="http://schemas.microsoft.com/office/spreadsheetml/2009/9/main" objectType="CheckBox" fmlaLink="#REF!" lockText="1" noThreeD="1"/>
</file>

<file path=xl/ctrlProps/ctrlProp4.xml><?xml version="1.0" encoding="utf-8"?>
<formControlPr xmlns="http://schemas.microsoft.com/office/spreadsheetml/2009/9/main" objectType="CheckBox" fmlaLink="$K$26" lockText="1" noThreeD="1"/>
</file>

<file path=xl/ctrlProps/ctrlProp5.xml><?xml version="1.0" encoding="utf-8"?>
<formControlPr xmlns="http://schemas.microsoft.com/office/spreadsheetml/2009/9/main" objectType="CheckBox" fmlaLink="$K$15" lockText="1" noThreeD="1"/>
</file>

<file path=xl/ctrlProps/ctrlProp6.xml><?xml version="1.0" encoding="utf-8"?>
<formControlPr xmlns="http://schemas.microsoft.com/office/spreadsheetml/2009/9/main" objectType="CheckBox" fmlaLink="#REF!" lockText="1" noThreeD="1"/>
</file>

<file path=xl/ctrlProps/ctrlProp7.xml><?xml version="1.0" encoding="utf-8"?>
<formControlPr xmlns="http://schemas.microsoft.com/office/spreadsheetml/2009/9/main" objectType="CheckBox" fmlaLink="$K$32" lockText="1" noThreeD="1"/>
</file>

<file path=xl/ctrlProps/ctrlProp8.xml><?xml version="1.0" encoding="utf-8"?>
<formControlPr xmlns="http://schemas.microsoft.com/office/spreadsheetml/2009/9/main" objectType="CheckBox" fmlaLink="$K$33" lockText="1" noThreeD="1"/>
</file>

<file path=xl/ctrlProps/ctrlProp9.xml><?xml version="1.0" encoding="utf-8"?>
<formControlPr xmlns="http://schemas.microsoft.com/office/spreadsheetml/2009/9/main" objectType="CheckBox" fmlaLink="$K$34" lockText="1" noThreeD="1"/>
</file>

<file path=xl/ctrlProps/ctrlProp10.xml><?xml version="1.0" encoding="utf-8"?>
<formControlPr xmlns="http://schemas.microsoft.com/office/spreadsheetml/2009/9/main" objectType="CheckBox" fmlaLink="$K$40" lockText="1" noThreeD="1"/>
</file>

<file path=xl/ctrlProps/ctrlProp11.xml><?xml version="1.0" encoding="utf-8"?>
<formControlPr xmlns="http://schemas.microsoft.com/office/spreadsheetml/2009/9/main" objectType="CheckBox" fmlaLink="$K$41" lockText="1" noThreeD="1"/>
</file>

<file path=xl/ctrlProps/ctrlProp12.xml><?xml version="1.0" encoding="utf-8"?>
<formControlPr xmlns="http://schemas.microsoft.com/office/spreadsheetml/2009/9/main" objectType="CheckBox" fmlaLink="$K$42" lockText="1" noThreeD="1"/>
</file>

<file path=xl/ctrlProps/ctrlProp13.xml><?xml version="1.0" encoding="utf-8"?>
<formControlPr xmlns="http://schemas.microsoft.com/office/spreadsheetml/2009/9/main" objectType="CheckBox" fmlaLink="$K$43" lockText="1" noThreeD="1"/>
</file>

<file path=xl/ctrlProps/ctrlProp14.xml><?xml version="1.0" encoding="utf-8"?>
<formControlPr xmlns="http://schemas.microsoft.com/office/spreadsheetml/2009/9/main" objectType="CheckBox" fmlaLink="$K$49" lockText="1" noThreeD="1"/>
</file>

<file path=xl/ctrlProps/ctrlProp15.xml><?xml version="1.0" encoding="utf-8"?>
<formControlPr xmlns="http://schemas.microsoft.com/office/spreadsheetml/2009/9/main" objectType="CheckBox" fmlaLink="$K$56" lockText="1" noThreeD="1"/>
</file>

<file path=xl/ctrlProps/ctrlProp16.xml><?xml version="1.0" encoding="utf-8"?>
<formControlPr xmlns="http://schemas.microsoft.com/office/spreadsheetml/2009/9/main" objectType="CheckBox" fmlaLink="#REF!" lockText="1" noThreeD="1"/>
</file>

<file path=xl/ctrlProps/ctrlProp17.xml><?xml version="1.0" encoding="utf-8"?>
<formControlPr xmlns="http://schemas.microsoft.com/office/spreadsheetml/2009/9/main" objectType="CheckBox" fmlaLink="#REF!" lockText="1" noThreeD="1"/>
</file>

<file path=xl/ctrlProps/ctrlProp18.xml><?xml version="1.0" encoding="utf-8"?>
<formControlPr xmlns="http://schemas.microsoft.com/office/spreadsheetml/2009/9/main" objectType="CheckBox" fmlaLink="$K$57" lockText="1" noThreeD="1"/>
</file>

<file path=xl/ctrlProps/ctrlProp19.xml><?xml version="1.0" encoding="utf-8"?>
<formControlPr xmlns="http://schemas.microsoft.com/office/spreadsheetml/2009/9/main" objectType="CheckBox" fmlaLink="#REF!" lockText="1" noThreeD="1"/>
</file>

<file path=xl/ctrlProps/ctrlProp20.xml><?xml version="1.0" encoding="utf-8"?>
<formControlPr xmlns="http://schemas.microsoft.com/office/spreadsheetml/2009/9/main" objectType="CheckBox" fmlaLink="$K$58"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fmlaLink="#REF!" lockText="1" noThreeD="1"/>
</file>

<file path=xl/ctrlProps/ctrlProp31.xml><?xml version="1.0" encoding="utf-8"?>
<formControlPr xmlns="http://schemas.microsoft.com/office/spreadsheetml/2009/9/main" objectType="CheckBox" fmlaLink="$K$26" lockText="1" noThreeD="1"/>
</file>

<file path=xl/ctrlProps/ctrlProp32.xml><?xml version="1.0" encoding="utf-8"?>
<formControlPr xmlns="http://schemas.microsoft.com/office/spreadsheetml/2009/9/main" objectType="CheckBox" fmlaLink="#REF!" lockText="1" noThreeD="1"/>
</file>

<file path=xl/ctrlProps/ctrlProp33.xml><?xml version="1.0" encoding="utf-8"?>
<formControlPr xmlns="http://schemas.microsoft.com/office/spreadsheetml/2009/9/main" objectType="CheckBox" fmlaLink="$K$26" lockText="1" noThreeD="1"/>
</file>

<file path=xl/ctrlProps/ctrlProp34.xml><?xml version="1.0" encoding="utf-8"?>
<formControlPr xmlns="http://schemas.microsoft.com/office/spreadsheetml/2009/9/main" objectType="CheckBox" fmlaLink="$K$1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fmlaLink="$K$15" lockText="1" noThreeD="1"/>
</file>

<file path=xl/ctrlProps/ctrlProp39.xml><?xml version="1.0" encoding="utf-8"?>
<formControlPr xmlns="http://schemas.microsoft.com/office/spreadsheetml/2009/9/main" objectType="CheckBox" fmlaLink="#REF!"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fmlaLink="$K$15"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fmlaLink="$K$15" lockText="1" noThreeD="1"/>
</file>

<file path=xl/ctrlProps/ctrlProp45.xml><?xml version="1.0" encoding="utf-8"?>
<formControlPr xmlns="http://schemas.microsoft.com/office/spreadsheetml/2009/9/main" objectType="CheckBox" fmlaLink="#REF!"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K$15"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fmlaLink="$K$14" lockText="1" noThreeD="1"/>
</file>

<file path=xl/ctrlProps/ctrlProp51.xml><?xml version="1.0" encoding="utf-8"?>
<formControlPr xmlns="http://schemas.microsoft.com/office/spreadsheetml/2009/9/main" objectType="CheckBox" fmlaLink="$K$15"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fmlaLink="$K$14" lockText="1" noThreeD="1"/>
</file>

<file path=xl/ctrlProps/ctrlProp55.xml><?xml version="1.0" encoding="utf-8"?>
<formControlPr xmlns="http://schemas.microsoft.com/office/spreadsheetml/2009/9/main" objectType="CheckBox" fmlaLink="$K$15"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fmlaLink="$K$14"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fmlaLink="$K$14" lockText="1" noThreeD="1"/>
</file>

<file path=xl/ctrlProps/ctrlProp61.xml><?xml version="1.0" encoding="utf-8"?>
<formControlPr xmlns="http://schemas.microsoft.com/office/spreadsheetml/2009/9/main" objectType="CheckBox" fmlaLink="$K$15"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fmlaLink="$K$14"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fmlaLink="$K$14" lockText="1" noThreeD="1"/>
</file>

<file path=xl/ctrlProps/ctrlProp67.xml><?xml version="1.0" encoding="utf-8"?>
<formControlPr xmlns="http://schemas.microsoft.com/office/spreadsheetml/2009/9/main" objectType="CheckBox" fmlaLink="$K$15"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fmlaLink="$K$14"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fmlaLink="$K$14" lockText="1" noThreeD="1"/>
</file>

<file path=xl/ctrlProps/ctrlProp73.xml><?xml version="1.0" encoding="utf-8"?>
<formControlPr xmlns="http://schemas.microsoft.com/office/spreadsheetml/2009/9/main" objectType="CheckBox" fmlaLink="$K$15"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fmlaLink="$K$14"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fmlaLink="$K$14" lockText="1" noThreeD="1"/>
</file>

<file path=xl/ctrlProps/ctrlProp79.xml><?xml version="1.0" encoding="utf-8"?>
<formControlPr xmlns="http://schemas.microsoft.com/office/spreadsheetml/2009/9/main" objectType="CheckBox" fmlaLink="$K$15"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fmlaLink="$K$14"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fmlaLink="$K$14" lockText="1" noThreeD="1"/>
</file>

<file path=xl/ctrlProps/ctrlProp85.xml><?xml version="1.0" encoding="utf-8"?>
<formControlPr xmlns="http://schemas.microsoft.com/office/spreadsheetml/2009/9/main" objectType="CheckBox" fmlaLink="$K$15"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fmlaLink="$K$14"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fmlaLink="$K$14" lockText="1" noThreeD="1"/>
</file>

<file path=xl/ctrlProps/ctrlProp91.xml><?xml version="1.0" encoding="utf-8"?>
<formControlPr xmlns="http://schemas.microsoft.com/office/spreadsheetml/2009/9/main" objectType="CheckBox" fmlaLink="$K$15"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fmlaLink="$K$14"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fmlaLink="$K$14" lockText="1" noThreeD="1"/>
</file>

<file path=xl/ctrlProps/ctrlProp97.xml><?xml version="1.0" encoding="utf-8"?>
<formControlPr xmlns="http://schemas.microsoft.com/office/spreadsheetml/2009/9/main" objectType="CheckBox" fmlaLink="$K$15"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fmlaLink="$K$14"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fmlaLink="$K$14" lockText="1" noThreeD="1"/>
</file>

<file path=xl/ctrlProps/ctrlProp103.xml><?xml version="1.0" encoding="utf-8"?>
<formControlPr xmlns="http://schemas.microsoft.com/office/spreadsheetml/2009/9/main" objectType="CheckBox" fmlaLink="$K$15"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fmlaLink="$K$14" lockText="1" noThreeD="1"/>
</file>

<file path=xl/ctrlProps/ctrlProp10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28575</xdr:rowOff>
    </xdr:from>
    <xdr:to>
      <xdr:col>3</xdr:col>
      <xdr:colOff>428625</xdr:colOff>
      <xdr:row>1</xdr:row>
      <xdr:rowOff>390525</xdr:rowOff>
    </xdr:to>
    <xdr:pic>
      <xdr:nvPicPr>
        <xdr:cNvPr id="4209" name="Picture 2">
          <a:extLst>
            <a:ext uri="{FF2B5EF4-FFF2-40B4-BE49-F238E27FC236}">
              <a16:creationId xmlns:a16="http://schemas.microsoft.com/office/drawing/2014/main" id="{00000000-0008-0000-0000-000071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8575"/>
          <a:ext cx="19145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10</xdr:col>
          <xdr:colOff>228600</xdr:colOff>
          <xdr:row>11</xdr:row>
          <xdr:rowOff>428625</xdr:rowOff>
        </xdr:from>
        <xdr:to>
          <xdr:col>10</xdr:col>
          <xdr:colOff>533400</xdr:colOff>
          <xdr:row>13</xdr:row>
          <xdr:rowOff>19050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12</xdr:row>
          <xdr:rowOff>180975</xdr:rowOff>
        </xdr:from>
        <xdr:to>
          <xdr:col>10</xdr:col>
          <xdr:colOff>619125</xdr:colOff>
          <xdr:row>14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9525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9525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180975</xdr:rowOff>
        </xdr:from>
        <xdr:to>
          <xdr:col>10</xdr:col>
          <xdr:colOff>619125</xdr:colOff>
          <xdr:row>15</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180975</xdr:rowOff>
        </xdr:from>
        <xdr:to>
          <xdr:col>10</xdr:col>
          <xdr:colOff>619125</xdr:colOff>
          <xdr:row>16</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30</xdr:row>
          <xdr:rowOff>400050</xdr:rowOff>
        </xdr:from>
        <xdr:to>
          <xdr:col>10</xdr:col>
          <xdr:colOff>542925</xdr:colOff>
          <xdr:row>32</xdr:row>
          <xdr:rowOff>9525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31</xdr:row>
          <xdr:rowOff>180975</xdr:rowOff>
        </xdr:from>
        <xdr:to>
          <xdr:col>10</xdr:col>
          <xdr:colOff>628650</xdr:colOff>
          <xdr:row>33</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32</xdr:row>
          <xdr:rowOff>180975</xdr:rowOff>
        </xdr:from>
        <xdr:to>
          <xdr:col>10</xdr:col>
          <xdr:colOff>619125</xdr:colOff>
          <xdr:row>34</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38</xdr:row>
          <xdr:rowOff>438150</xdr:rowOff>
        </xdr:from>
        <xdr:to>
          <xdr:col>10</xdr:col>
          <xdr:colOff>533400</xdr:colOff>
          <xdr:row>40</xdr:row>
          <xdr:rowOff>9525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39</xdr:row>
          <xdr:rowOff>180975</xdr:rowOff>
        </xdr:from>
        <xdr:to>
          <xdr:col>10</xdr:col>
          <xdr:colOff>619125</xdr:colOff>
          <xdr:row>41</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40</xdr:row>
          <xdr:rowOff>180975</xdr:rowOff>
        </xdr:from>
        <xdr:to>
          <xdr:col>10</xdr:col>
          <xdr:colOff>619125</xdr:colOff>
          <xdr:row>42</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41</xdr:row>
          <xdr:rowOff>180975</xdr:rowOff>
        </xdr:from>
        <xdr:to>
          <xdr:col>10</xdr:col>
          <xdr:colOff>619125</xdr:colOff>
          <xdr:row>43</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47</xdr:row>
          <xdr:rowOff>400050</xdr:rowOff>
        </xdr:from>
        <xdr:to>
          <xdr:col>10</xdr:col>
          <xdr:colOff>542925</xdr:colOff>
          <xdr:row>48</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48</xdr:row>
          <xdr:rowOff>180975</xdr:rowOff>
        </xdr:from>
        <xdr:to>
          <xdr:col>10</xdr:col>
          <xdr:colOff>628650</xdr:colOff>
          <xdr:row>50</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57</xdr:row>
          <xdr:rowOff>180975</xdr:rowOff>
        </xdr:from>
        <xdr:to>
          <xdr:col>10</xdr:col>
          <xdr:colOff>628650</xdr:colOff>
          <xdr:row>59</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58</xdr:row>
          <xdr:rowOff>0</xdr:rowOff>
        </xdr:from>
        <xdr:to>
          <xdr:col>10</xdr:col>
          <xdr:colOff>628650</xdr:colOff>
          <xdr:row>59</xdr:row>
          <xdr:rowOff>9525</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56</xdr:row>
          <xdr:rowOff>0</xdr:rowOff>
        </xdr:from>
        <xdr:to>
          <xdr:col>10</xdr:col>
          <xdr:colOff>628650</xdr:colOff>
          <xdr:row>57</xdr:row>
          <xdr:rowOff>19050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55</xdr:row>
          <xdr:rowOff>171450</xdr:rowOff>
        </xdr:from>
        <xdr:to>
          <xdr:col>10</xdr:col>
          <xdr:colOff>628650</xdr:colOff>
          <xdr:row>56</xdr:row>
          <xdr:rowOff>190500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238125</xdr:colOff>
          <xdr:row>56</xdr:row>
          <xdr:rowOff>180975</xdr:rowOff>
        </xdr:from>
        <xdr:to>
          <xdr:col>10</xdr:col>
          <xdr:colOff>628650</xdr:colOff>
          <xdr:row>58</xdr:row>
          <xdr:rowOff>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11</xdr:row>
          <xdr:rowOff>438150</xdr:rowOff>
        </xdr:from>
        <xdr:to>
          <xdr:col>5</xdr:col>
          <xdr:colOff>114300</xdr:colOff>
          <xdr:row>13</xdr:row>
          <xdr:rowOff>9525</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32</xdr:row>
          <xdr:rowOff>190500</xdr:rowOff>
        </xdr:from>
        <xdr:to>
          <xdr:col>5</xdr:col>
          <xdr:colOff>114300</xdr:colOff>
          <xdr:row>34</xdr:row>
          <xdr:rowOff>9525</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12</xdr:row>
          <xdr:rowOff>180975</xdr:rowOff>
        </xdr:from>
        <xdr:to>
          <xdr:col>5</xdr:col>
          <xdr:colOff>114300</xdr:colOff>
          <xdr:row>14</xdr:row>
          <xdr:rowOff>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13</xdr:row>
          <xdr:rowOff>180975</xdr:rowOff>
        </xdr:from>
        <xdr:to>
          <xdr:col>5</xdr:col>
          <xdr:colOff>114300</xdr:colOff>
          <xdr:row>15</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180975</xdr:rowOff>
        </xdr:from>
        <xdr:to>
          <xdr:col>5</xdr:col>
          <xdr:colOff>114300</xdr:colOff>
          <xdr:row>16</xdr:row>
          <xdr:rowOff>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0</xdr:rowOff>
        </xdr:from>
        <xdr:to>
          <xdr:col>5</xdr:col>
          <xdr:colOff>114300</xdr:colOff>
          <xdr:row>17</xdr:row>
          <xdr:rowOff>19050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0</xdr:rowOff>
        </xdr:from>
        <xdr:to>
          <xdr:col>5</xdr:col>
          <xdr:colOff>114300</xdr:colOff>
          <xdr:row>17</xdr:row>
          <xdr:rowOff>9525</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30</xdr:row>
          <xdr:rowOff>400050</xdr:rowOff>
        </xdr:from>
        <xdr:to>
          <xdr:col>5</xdr:col>
          <xdr:colOff>114300</xdr:colOff>
          <xdr:row>32</xdr:row>
          <xdr:rowOff>9525</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31</xdr:row>
          <xdr:rowOff>180975</xdr:rowOff>
        </xdr:from>
        <xdr:to>
          <xdr:col>5</xdr:col>
          <xdr:colOff>114300</xdr:colOff>
          <xdr:row>33</xdr:row>
          <xdr:rowOff>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9525</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9525</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9525</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9525</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180975</xdr:rowOff>
        </xdr:from>
        <xdr:to>
          <xdr:col>10</xdr:col>
          <xdr:colOff>619125</xdr:colOff>
          <xdr:row>16</xdr:row>
          <xdr:rowOff>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0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180975</xdr:rowOff>
        </xdr:from>
        <xdr:to>
          <xdr:col>10</xdr:col>
          <xdr:colOff>619125</xdr:colOff>
          <xdr:row>17</xdr:row>
          <xdr:rowOff>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0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180975</xdr:rowOff>
        </xdr:from>
        <xdr:to>
          <xdr:col>5</xdr:col>
          <xdr:colOff>114300</xdr:colOff>
          <xdr:row>16</xdr:row>
          <xdr:rowOff>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0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15</xdr:row>
          <xdr:rowOff>180975</xdr:rowOff>
        </xdr:from>
        <xdr:to>
          <xdr:col>5</xdr:col>
          <xdr:colOff>114300</xdr:colOff>
          <xdr:row>17</xdr:row>
          <xdr:rowOff>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0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619125</xdr:colOff>
          <xdr:row>18</xdr:row>
          <xdr:rowOff>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0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180975</xdr:rowOff>
        </xdr:from>
        <xdr:to>
          <xdr:col>10</xdr:col>
          <xdr:colOff>619125</xdr:colOff>
          <xdr:row>19</xdr:row>
          <xdr:rowOff>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0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0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180975</xdr:rowOff>
        </xdr:from>
        <xdr:to>
          <xdr:col>5</xdr:col>
          <xdr:colOff>114300</xdr:colOff>
          <xdr:row>19</xdr:row>
          <xdr:rowOff>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0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180975</xdr:rowOff>
        </xdr:from>
        <xdr:to>
          <xdr:col>10</xdr:col>
          <xdr:colOff>619125</xdr:colOff>
          <xdr:row>19</xdr:row>
          <xdr:rowOff>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0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180975</xdr:rowOff>
        </xdr:from>
        <xdr:to>
          <xdr:col>5</xdr:col>
          <xdr:colOff>114300</xdr:colOff>
          <xdr:row>19</xdr:row>
          <xdr:rowOff>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0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619125</xdr:colOff>
          <xdr:row>18</xdr:row>
          <xdr:rowOff>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0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180975</xdr:rowOff>
        </xdr:from>
        <xdr:to>
          <xdr:col>10</xdr:col>
          <xdr:colOff>619125</xdr:colOff>
          <xdr:row>19</xdr:row>
          <xdr:rowOff>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0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0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180975</xdr:rowOff>
        </xdr:from>
        <xdr:to>
          <xdr:col>5</xdr:col>
          <xdr:colOff>114300</xdr:colOff>
          <xdr:row>19</xdr:row>
          <xdr:rowOff>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0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180975</xdr:rowOff>
        </xdr:from>
        <xdr:to>
          <xdr:col>10</xdr:col>
          <xdr:colOff>619125</xdr:colOff>
          <xdr:row>19</xdr:row>
          <xdr:rowOff>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0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180975</xdr:rowOff>
        </xdr:from>
        <xdr:to>
          <xdr:col>5</xdr:col>
          <xdr:colOff>114300</xdr:colOff>
          <xdr:row>19</xdr:row>
          <xdr:rowOff>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0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180975</xdr:rowOff>
        </xdr:from>
        <xdr:to>
          <xdr:col>10</xdr:col>
          <xdr:colOff>619125</xdr:colOff>
          <xdr:row>15</xdr:row>
          <xdr:rowOff>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0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180975</xdr:rowOff>
        </xdr:from>
        <xdr:to>
          <xdr:col>10</xdr:col>
          <xdr:colOff>619125</xdr:colOff>
          <xdr:row>16</xdr:row>
          <xdr:rowOff>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0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13</xdr:row>
          <xdr:rowOff>180975</xdr:rowOff>
        </xdr:from>
        <xdr:to>
          <xdr:col>5</xdr:col>
          <xdr:colOff>114300</xdr:colOff>
          <xdr:row>15</xdr:row>
          <xdr:rowOff>0</xdr:rowOff>
        </xdr:to>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0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14</xdr:row>
          <xdr:rowOff>180975</xdr:rowOff>
        </xdr:from>
        <xdr:to>
          <xdr:col>5</xdr:col>
          <xdr:colOff>114300</xdr:colOff>
          <xdr:row>16</xdr:row>
          <xdr:rowOff>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0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15</xdr:row>
          <xdr:rowOff>180975</xdr:rowOff>
        </xdr:from>
        <xdr:to>
          <xdr:col>10</xdr:col>
          <xdr:colOff>619125</xdr:colOff>
          <xdr:row>17</xdr:row>
          <xdr:rowOff>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0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619125</xdr:colOff>
          <xdr:row>18</xdr:row>
          <xdr:rowOff>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0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15</xdr:row>
          <xdr:rowOff>180975</xdr:rowOff>
        </xdr:from>
        <xdr:to>
          <xdr:col>5</xdr:col>
          <xdr:colOff>114300</xdr:colOff>
          <xdr:row>17</xdr:row>
          <xdr:rowOff>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0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0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180975</xdr:rowOff>
        </xdr:from>
        <xdr:to>
          <xdr:col>10</xdr:col>
          <xdr:colOff>619125</xdr:colOff>
          <xdr:row>18</xdr:row>
          <xdr:rowOff>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0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16</xdr:row>
          <xdr:rowOff>180975</xdr:rowOff>
        </xdr:from>
        <xdr:to>
          <xdr:col>5</xdr:col>
          <xdr:colOff>114300</xdr:colOff>
          <xdr:row>18</xdr:row>
          <xdr:rowOff>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0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180975</xdr:rowOff>
        </xdr:from>
        <xdr:to>
          <xdr:col>10</xdr:col>
          <xdr:colOff>619125</xdr:colOff>
          <xdr:row>20</xdr:row>
          <xdr:rowOff>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0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180975</xdr:rowOff>
        </xdr:from>
        <xdr:to>
          <xdr:col>10</xdr:col>
          <xdr:colOff>619125</xdr:colOff>
          <xdr:row>21</xdr:row>
          <xdr:rowOff>0</xdr:rowOff>
        </xdr:to>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000-00005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18</xdr:row>
          <xdr:rowOff>180975</xdr:rowOff>
        </xdr:from>
        <xdr:to>
          <xdr:col>5</xdr:col>
          <xdr:colOff>114300</xdr:colOff>
          <xdr:row>20</xdr:row>
          <xdr:rowOff>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0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19</xdr:row>
          <xdr:rowOff>180975</xdr:rowOff>
        </xdr:from>
        <xdr:to>
          <xdr:col>5</xdr:col>
          <xdr:colOff>114300</xdr:colOff>
          <xdr:row>21</xdr:row>
          <xdr:rowOff>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0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180975</xdr:rowOff>
        </xdr:from>
        <xdr:to>
          <xdr:col>10</xdr:col>
          <xdr:colOff>619125</xdr:colOff>
          <xdr:row>21</xdr:row>
          <xdr:rowOff>0</xdr:rowOff>
        </xdr:to>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000-00005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19</xdr:row>
          <xdr:rowOff>180975</xdr:rowOff>
        </xdr:from>
        <xdr:to>
          <xdr:col>5</xdr:col>
          <xdr:colOff>114300</xdr:colOff>
          <xdr:row>21</xdr:row>
          <xdr:rowOff>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0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180975</xdr:rowOff>
        </xdr:from>
        <xdr:to>
          <xdr:col>10</xdr:col>
          <xdr:colOff>619125</xdr:colOff>
          <xdr:row>19</xdr:row>
          <xdr:rowOff>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0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180975</xdr:rowOff>
        </xdr:from>
        <xdr:to>
          <xdr:col>10</xdr:col>
          <xdr:colOff>619125</xdr:colOff>
          <xdr:row>20</xdr:row>
          <xdr:rowOff>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0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17</xdr:row>
          <xdr:rowOff>180975</xdr:rowOff>
        </xdr:from>
        <xdr:to>
          <xdr:col>5</xdr:col>
          <xdr:colOff>114300</xdr:colOff>
          <xdr:row>19</xdr:row>
          <xdr:rowOff>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0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18</xdr:row>
          <xdr:rowOff>180975</xdr:rowOff>
        </xdr:from>
        <xdr:to>
          <xdr:col>5</xdr:col>
          <xdr:colOff>114300</xdr:colOff>
          <xdr:row>20</xdr:row>
          <xdr:rowOff>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0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180975</xdr:rowOff>
        </xdr:from>
        <xdr:to>
          <xdr:col>10</xdr:col>
          <xdr:colOff>619125</xdr:colOff>
          <xdr:row>20</xdr:row>
          <xdr:rowOff>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0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18</xdr:row>
          <xdr:rowOff>180975</xdr:rowOff>
        </xdr:from>
        <xdr:to>
          <xdr:col>5</xdr:col>
          <xdr:colOff>114300</xdr:colOff>
          <xdr:row>20</xdr:row>
          <xdr:rowOff>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0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19</xdr:row>
          <xdr:rowOff>180975</xdr:rowOff>
        </xdr:from>
        <xdr:to>
          <xdr:col>10</xdr:col>
          <xdr:colOff>619125</xdr:colOff>
          <xdr:row>21</xdr:row>
          <xdr:rowOff>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0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180975</xdr:rowOff>
        </xdr:from>
        <xdr:to>
          <xdr:col>10</xdr:col>
          <xdr:colOff>619125</xdr:colOff>
          <xdr:row>22</xdr:row>
          <xdr:rowOff>0</xdr:rowOff>
        </xdr:to>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000-00005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19</xdr:row>
          <xdr:rowOff>180975</xdr:rowOff>
        </xdr:from>
        <xdr:to>
          <xdr:col>5</xdr:col>
          <xdr:colOff>114300</xdr:colOff>
          <xdr:row>21</xdr:row>
          <xdr:rowOff>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0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20</xdr:row>
          <xdr:rowOff>180975</xdr:rowOff>
        </xdr:from>
        <xdr:to>
          <xdr:col>5</xdr:col>
          <xdr:colOff>114300</xdr:colOff>
          <xdr:row>22</xdr:row>
          <xdr:rowOff>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0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180975</xdr:rowOff>
        </xdr:from>
        <xdr:to>
          <xdr:col>10</xdr:col>
          <xdr:colOff>619125</xdr:colOff>
          <xdr:row>22</xdr:row>
          <xdr:rowOff>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0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20</xdr:row>
          <xdr:rowOff>180975</xdr:rowOff>
        </xdr:from>
        <xdr:to>
          <xdr:col>5</xdr:col>
          <xdr:colOff>114300</xdr:colOff>
          <xdr:row>22</xdr:row>
          <xdr:rowOff>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0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20</xdr:row>
          <xdr:rowOff>180975</xdr:rowOff>
        </xdr:from>
        <xdr:to>
          <xdr:col>10</xdr:col>
          <xdr:colOff>619125</xdr:colOff>
          <xdr:row>22</xdr:row>
          <xdr:rowOff>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0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180975</xdr:rowOff>
        </xdr:from>
        <xdr:to>
          <xdr:col>10</xdr:col>
          <xdr:colOff>619125</xdr:colOff>
          <xdr:row>23</xdr:row>
          <xdr:rowOff>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0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20</xdr:row>
          <xdr:rowOff>180975</xdr:rowOff>
        </xdr:from>
        <xdr:to>
          <xdr:col>5</xdr:col>
          <xdr:colOff>114300</xdr:colOff>
          <xdr:row>22</xdr:row>
          <xdr:rowOff>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0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21</xdr:row>
          <xdr:rowOff>180975</xdr:rowOff>
        </xdr:from>
        <xdr:to>
          <xdr:col>5</xdr:col>
          <xdr:colOff>114300</xdr:colOff>
          <xdr:row>23</xdr:row>
          <xdr:rowOff>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0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180975</xdr:rowOff>
        </xdr:from>
        <xdr:to>
          <xdr:col>10</xdr:col>
          <xdr:colOff>619125</xdr:colOff>
          <xdr:row>23</xdr:row>
          <xdr:rowOff>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0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21</xdr:row>
          <xdr:rowOff>180975</xdr:rowOff>
        </xdr:from>
        <xdr:to>
          <xdr:col>5</xdr:col>
          <xdr:colOff>114300</xdr:colOff>
          <xdr:row>23</xdr:row>
          <xdr:rowOff>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0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21</xdr:row>
          <xdr:rowOff>180975</xdr:rowOff>
        </xdr:from>
        <xdr:to>
          <xdr:col>10</xdr:col>
          <xdr:colOff>619125</xdr:colOff>
          <xdr:row>23</xdr:row>
          <xdr:rowOff>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0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180975</xdr:rowOff>
        </xdr:from>
        <xdr:to>
          <xdr:col>10</xdr:col>
          <xdr:colOff>619125</xdr:colOff>
          <xdr:row>24</xdr:row>
          <xdr:rowOff>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0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21</xdr:row>
          <xdr:rowOff>180975</xdr:rowOff>
        </xdr:from>
        <xdr:to>
          <xdr:col>5</xdr:col>
          <xdr:colOff>114300</xdr:colOff>
          <xdr:row>23</xdr:row>
          <xdr:rowOff>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0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22</xdr:row>
          <xdr:rowOff>180975</xdr:rowOff>
        </xdr:from>
        <xdr:to>
          <xdr:col>5</xdr:col>
          <xdr:colOff>114300</xdr:colOff>
          <xdr:row>24</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0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180975</xdr:rowOff>
        </xdr:from>
        <xdr:to>
          <xdr:col>10</xdr:col>
          <xdr:colOff>619125</xdr:colOff>
          <xdr:row>24</xdr:row>
          <xdr:rowOff>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0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22</xdr:row>
          <xdr:rowOff>180975</xdr:rowOff>
        </xdr:from>
        <xdr:to>
          <xdr:col>5</xdr:col>
          <xdr:colOff>114300</xdr:colOff>
          <xdr:row>24</xdr:row>
          <xdr:rowOff>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0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22</xdr:row>
          <xdr:rowOff>180975</xdr:rowOff>
        </xdr:from>
        <xdr:to>
          <xdr:col>10</xdr:col>
          <xdr:colOff>619125</xdr:colOff>
          <xdr:row>24</xdr:row>
          <xdr:rowOff>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23</xdr:row>
          <xdr:rowOff>180975</xdr:rowOff>
        </xdr:from>
        <xdr:to>
          <xdr:col>10</xdr:col>
          <xdr:colOff>619125</xdr:colOff>
          <xdr:row>25</xdr:row>
          <xdr:rowOff>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22</xdr:row>
          <xdr:rowOff>180975</xdr:rowOff>
        </xdr:from>
        <xdr:to>
          <xdr:col>5</xdr:col>
          <xdr:colOff>114300</xdr:colOff>
          <xdr:row>24</xdr:row>
          <xdr:rowOff>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0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xdr:col>
      <xdr:colOff>1174750</xdr:colOff>
      <xdr:row>23</xdr:row>
      <xdr:rowOff>184150</xdr:rowOff>
    </xdr:from>
    <xdr:ext cx="368300" cy="209550"/>
    <xdr:sp macro="" textlink="">
      <xdr:nvSpPr>
        <xdr:cNvPr id="2" name="Check Box 113" hidden="1">
          <a:extLst>
            <a:ext uri="{63B3BB69-23CF-44E3-9099-C40C66FF867C}">
              <a14:compatExt xmlns:a14="http://schemas.microsoft.com/office/drawing/2010/main" spid="_x0000_s4209"/>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10</xdr:col>
          <xdr:colOff>228600</xdr:colOff>
          <xdr:row>23</xdr:row>
          <xdr:rowOff>180975</xdr:rowOff>
        </xdr:from>
        <xdr:to>
          <xdr:col>10</xdr:col>
          <xdr:colOff>619125</xdr:colOff>
          <xdr:row>25</xdr:row>
          <xdr:rowOff>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0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23</xdr:row>
          <xdr:rowOff>180975</xdr:rowOff>
        </xdr:from>
        <xdr:to>
          <xdr:col>5</xdr:col>
          <xdr:colOff>114300</xdr:colOff>
          <xdr:row>25</xdr:row>
          <xdr:rowOff>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0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23</xdr:row>
          <xdr:rowOff>180975</xdr:rowOff>
        </xdr:from>
        <xdr:to>
          <xdr:col>10</xdr:col>
          <xdr:colOff>619125</xdr:colOff>
          <xdr:row>25</xdr:row>
          <xdr:rowOff>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0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180975</xdr:rowOff>
        </xdr:from>
        <xdr:to>
          <xdr:col>10</xdr:col>
          <xdr:colOff>619125</xdr:colOff>
          <xdr:row>26</xdr:row>
          <xdr:rowOff>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0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23</xdr:row>
          <xdr:rowOff>180975</xdr:rowOff>
        </xdr:from>
        <xdr:to>
          <xdr:col>5</xdr:col>
          <xdr:colOff>114300</xdr:colOff>
          <xdr:row>25</xdr:row>
          <xdr:rowOff>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0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24</xdr:row>
          <xdr:rowOff>180975</xdr:rowOff>
        </xdr:from>
        <xdr:to>
          <xdr:col>5</xdr:col>
          <xdr:colOff>114300</xdr:colOff>
          <xdr:row>26</xdr:row>
          <xdr:rowOff>0</xdr:rowOff>
        </xdr:to>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0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180975</xdr:rowOff>
        </xdr:from>
        <xdr:to>
          <xdr:col>10</xdr:col>
          <xdr:colOff>619125</xdr:colOff>
          <xdr:row>26</xdr:row>
          <xdr:rowOff>0</xdr:rowOff>
        </xdr:to>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0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24</xdr:row>
          <xdr:rowOff>180975</xdr:rowOff>
        </xdr:from>
        <xdr:to>
          <xdr:col>5</xdr:col>
          <xdr:colOff>114300</xdr:colOff>
          <xdr:row>26</xdr:row>
          <xdr:rowOff>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0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24</xdr:row>
          <xdr:rowOff>180975</xdr:rowOff>
        </xdr:from>
        <xdr:to>
          <xdr:col>10</xdr:col>
          <xdr:colOff>619125</xdr:colOff>
          <xdr:row>26</xdr:row>
          <xdr:rowOff>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0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25</xdr:row>
          <xdr:rowOff>180975</xdr:rowOff>
        </xdr:from>
        <xdr:to>
          <xdr:col>10</xdr:col>
          <xdr:colOff>619125</xdr:colOff>
          <xdr:row>27</xdr:row>
          <xdr:rowOff>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0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24</xdr:row>
          <xdr:rowOff>180975</xdr:rowOff>
        </xdr:from>
        <xdr:to>
          <xdr:col>5</xdr:col>
          <xdr:colOff>114300</xdr:colOff>
          <xdr:row>26</xdr:row>
          <xdr:rowOff>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0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25</xdr:row>
          <xdr:rowOff>180975</xdr:rowOff>
        </xdr:from>
        <xdr:to>
          <xdr:col>5</xdr:col>
          <xdr:colOff>114300</xdr:colOff>
          <xdr:row>27</xdr:row>
          <xdr:rowOff>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0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25</xdr:row>
          <xdr:rowOff>180975</xdr:rowOff>
        </xdr:from>
        <xdr:to>
          <xdr:col>10</xdr:col>
          <xdr:colOff>619125</xdr:colOff>
          <xdr:row>27</xdr:row>
          <xdr:rowOff>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0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1171575</xdr:colOff>
          <xdr:row>25</xdr:row>
          <xdr:rowOff>180975</xdr:rowOff>
        </xdr:from>
        <xdr:to>
          <xdr:col>5</xdr:col>
          <xdr:colOff>114300</xdr:colOff>
          <xdr:row>27</xdr:row>
          <xdr:rowOff>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0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1762125</xdr:colOff>
          <xdr:row>23</xdr:row>
          <xdr:rowOff>276225</xdr:rowOff>
        </xdr:from>
        <xdr:to>
          <xdr:col>5</xdr:col>
          <xdr:colOff>171450</xdr:colOff>
          <xdr:row>25</xdr:row>
          <xdr:rowOff>0</xdr:rowOff>
        </xdr:to>
        <xdr:sp macro="" textlink="">
          <xdr:nvSpPr>
            <xdr:cNvPr id="3" name="Check Box 113" hidden="1">
              <a:extLst>
                <a:ext uri="{63B3BB69-23CF-44E3-9099-C40C66FF867C}">
                  <a14:compatExt spid="_x0000_s4209"/>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07" Type="http://schemas.openxmlformats.org/officeDocument/2006/relationships/ctrlProp" Target="../ctrlProps/ctrlProp104.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openxmlformats.org/officeDocument/2006/relationships/ctrlProp" Target="../ctrlProps/ctrlProp76.xml"/><Relationship Id="rId87" Type="http://schemas.openxmlformats.org/officeDocument/2006/relationships/ctrlProp" Target="../ctrlProps/ctrlProp84.xml"/><Relationship Id="rId102" Type="http://schemas.openxmlformats.org/officeDocument/2006/relationships/ctrlProp" Target="../ctrlProps/ctrlProp99.xml"/><Relationship Id="rId110" Type="http://schemas.openxmlformats.org/officeDocument/2006/relationships/ctrlProp" Target="../ctrlProps/ctrlProp107.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90" Type="http://schemas.openxmlformats.org/officeDocument/2006/relationships/ctrlProp" Target="../ctrlProps/ctrlProp87.xml"/><Relationship Id="rId95" Type="http://schemas.openxmlformats.org/officeDocument/2006/relationships/ctrlProp" Target="../ctrlProps/ctrlProp9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103" Type="http://schemas.openxmlformats.org/officeDocument/2006/relationships/ctrlProp" Target="../ctrlProps/ctrlProp100.xml"/><Relationship Id="rId108" Type="http://schemas.openxmlformats.org/officeDocument/2006/relationships/ctrlProp" Target="../ctrlProps/ctrlProp105.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202"/>
  <sheetViews>
    <sheetView tabSelected="1" topLeftCell="A57" zoomScaleNormal="100" workbookViewId="0">
      <selection activeCell="C57" sqref="C57"/>
    </sheetView>
  </sheetViews>
  <sheetFormatPr defaultColWidth="9.140625" defaultRowHeight="11.25"/>
  <cols>
    <col min="1" max="1" width="2.7109375" style="25" customWidth="1"/>
    <col min="2" max="2" width="4.5703125" style="25" customWidth="1"/>
    <col min="3" max="3" width="18.5703125" style="1" customWidth="1"/>
    <col min="4" max="4" width="18" style="1" customWidth="1"/>
    <col min="5" max="5" width="2.42578125" style="1" customWidth="1"/>
    <col min="6" max="6" width="16.28515625" style="1" customWidth="1"/>
    <col min="7" max="7" width="13.28515625" style="1" customWidth="1"/>
    <col min="8" max="8" width="3.28515625" style="1" customWidth="1"/>
    <col min="9" max="9" width="12.7109375" style="1" customWidth="1"/>
    <col min="10" max="10" width="13.7109375" style="1" customWidth="1"/>
    <col min="11" max="11" width="11.42578125" style="1" customWidth="1"/>
    <col min="12" max="12" width="6" style="1" customWidth="1"/>
    <col min="13" max="13" width="7.85546875" style="1" customWidth="1"/>
    <col min="14" max="14" width="14.5703125" style="1" customWidth="1"/>
    <col min="15" max="15" width="3.5703125" style="25" customWidth="1"/>
    <col min="16" max="17" width="9.140625" style="1" hidden="1" customWidth="1"/>
    <col min="18" max="18" width="27.140625" style="1" hidden="1" customWidth="1"/>
    <col min="19" max="19" width="31.5703125" style="1" hidden="1" customWidth="1"/>
    <col min="20" max="27" width="9.140625" style="1" hidden="1" customWidth="1"/>
    <col min="28" max="28" width="9.140625" style="1" customWidth="1"/>
    <col min="29" max="16384" width="9.140625" style="1"/>
  </cols>
  <sheetData>
    <row r="1" spans="1:46" ht="13.5" customHeight="1">
      <c r="A1" s="21"/>
      <c r="B1" s="22"/>
      <c r="C1" s="23"/>
      <c r="D1" s="24"/>
      <c r="E1" s="134" t="s">
        <v>0</v>
      </c>
      <c r="F1" s="135"/>
      <c r="G1" s="135"/>
      <c r="H1" s="135"/>
      <c r="I1" s="135"/>
      <c r="J1" s="136"/>
      <c r="K1" s="140" t="s">
        <v>1</v>
      </c>
      <c r="L1" s="141"/>
      <c r="M1" s="141"/>
      <c r="N1" s="142"/>
      <c r="Q1" s="3" t="s">
        <v>2</v>
      </c>
      <c r="R1" s="16">
        <v>0.2</v>
      </c>
    </row>
    <row r="2" spans="1:46" ht="40.5" customHeight="1">
      <c r="A2" s="21"/>
      <c r="B2" s="26"/>
      <c r="C2" s="27"/>
      <c r="D2" s="28"/>
      <c r="E2" s="137"/>
      <c r="F2" s="138"/>
      <c r="G2" s="138"/>
      <c r="H2" s="138"/>
      <c r="I2" s="138"/>
      <c r="J2" s="139"/>
      <c r="K2" s="29"/>
      <c r="L2" s="30"/>
      <c r="M2" s="30"/>
      <c r="N2" s="117" t="s">
        <v>3</v>
      </c>
    </row>
    <row r="3" spans="1:46" s="2" customFormat="1" ht="30" customHeight="1" thickBot="1">
      <c r="A3" s="31"/>
      <c r="B3" s="143" t="s">
        <v>4</v>
      </c>
      <c r="C3" s="144"/>
      <c r="D3" s="145" t="s">
        <v>5</v>
      </c>
      <c r="E3" s="145"/>
      <c r="F3" s="145"/>
      <c r="G3" s="145"/>
      <c r="H3" s="145"/>
      <c r="I3" s="145"/>
      <c r="J3" s="146"/>
      <c r="K3" s="147" t="s">
        <v>6</v>
      </c>
      <c r="L3" s="148"/>
      <c r="M3" s="148"/>
      <c r="N3" s="149"/>
      <c r="O3" s="32"/>
      <c r="Q3" s="4" t="s">
        <v>7</v>
      </c>
      <c r="R3" s="4"/>
      <c r="S3" s="4"/>
      <c r="T3" s="4"/>
      <c r="U3" s="4"/>
      <c r="V3" s="4"/>
      <c r="W3" s="4"/>
      <c r="X3" s="4"/>
      <c r="Y3" s="4"/>
      <c r="Z3" s="4"/>
      <c r="AA3" s="4"/>
    </row>
    <row r="4" spans="1:46" s="2" customFormat="1" ht="34.5" customHeight="1" thickTop="1">
      <c r="A4" s="31"/>
      <c r="B4" s="164" t="s">
        <v>8</v>
      </c>
      <c r="C4" s="165"/>
      <c r="D4" s="166">
        <v>1483635</v>
      </c>
      <c r="E4" s="166"/>
      <c r="F4" s="167"/>
      <c r="G4" s="168" t="s">
        <v>9</v>
      </c>
      <c r="H4" s="169"/>
      <c r="I4" s="169"/>
      <c r="J4" s="169"/>
      <c r="K4" s="169"/>
      <c r="L4" s="169"/>
      <c r="M4" s="169"/>
      <c r="N4" s="170"/>
      <c r="O4" s="32"/>
      <c r="Q4" s="4"/>
      <c r="R4" s="4"/>
      <c r="S4" s="4"/>
      <c r="T4" s="4"/>
      <c r="U4" s="4"/>
      <c r="V4" s="4"/>
      <c r="W4" s="4"/>
      <c r="X4" s="4"/>
      <c r="Y4" s="4"/>
      <c r="Z4" s="4"/>
      <c r="AA4" s="4"/>
    </row>
    <row r="5" spans="1:46" s="5" customFormat="1" ht="18" customHeight="1">
      <c r="A5" s="33"/>
      <c r="B5" s="158" t="s">
        <v>10</v>
      </c>
      <c r="C5" s="161" t="s">
        <v>11</v>
      </c>
      <c r="D5" s="162"/>
      <c r="E5" s="162"/>
      <c r="F5" s="163"/>
      <c r="G5" s="34" t="s">
        <v>12</v>
      </c>
      <c r="H5" s="35"/>
      <c r="I5" s="197">
        <v>34069</v>
      </c>
      <c r="J5" s="198"/>
      <c r="K5" s="199" t="s">
        <v>13</v>
      </c>
      <c r="L5" s="200"/>
      <c r="M5" s="171" t="s">
        <v>14</v>
      </c>
      <c r="N5" s="171"/>
      <c r="O5" s="36"/>
      <c r="Q5" s="186" t="s">
        <v>15</v>
      </c>
      <c r="R5" s="186"/>
      <c r="S5" s="186"/>
      <c r="T5" s="186"/>
      <c r="U5" s="186"/>
      <c r="V5" s="186"/>
      <c r="W5" s="186"/>
      <c r="X5" s="186"/>
      <c r="Y5" s="186"/>
      <c r="Z5" s="186"/>
      <c r="AA5" s="186"/>
    </row>
    <row r="6" spans="1:46" s="2" customFormat="1" ht="18" customHeight="1">
      <c r="A6" s="31"/>
      <c r="B6" s="159"/>
      <c r="C6" s="187" t="s">
        <v>16</v>
      </c>
      <c r="D6" s="188"/>
      <c r="E6" s="188"/>
      <c r="F6" s="189"/>
      <c r="G6" s="193" t="s">
        <v>17</v>
      </c>
      <c r="H6" s="194"/>
      <c r="I6" s="194"/>
      <c r="J6" s="195"/>
      <c r="K6" s="196" t="s">
        <v>18</v>
      </c>
      <c r="L6" s="196"/>
      <c r="M6" s="171" t="s">
        <v>19</v>
      </c>
      <c r="N6" s="171"/>
      <c r="O6" s="32"/>
      <c r="Q6" s="5" t="s">
        <v>20</v>
      </c>
    </row>
    <row r="7" spans="1:46" s="2" customFormat="1" ht="18" customHeight="1">
      <c r="A7" s="31"/>
      <c r="B7" s="159"/>
      <c r="C7" s="187"/>
      <c r="D7" s="188"/>
      <c r="E7" s="188"/>
      <c r="F7" s="189"/>
      <c r="G7" s="177" t="s">
        <v>21</v>
      </c>
      <c r="H7" s="178"/>
      <c r="I7" s="178"/>
      <c r="J7" s="179"/>
      <c r="K7" s="180" t="s">
        <v>22</v>
      </c>
      <c r="L7" s="180"/>
      <c r="M7" s="154" t="s">
        <v>23</v>
      </c>
      <c r="N7" s="154"/>
      <c r="O7" s="32"/>
      <c r="T7" s="15"/>
      <c r="U7" s="15"/>
      <c r="V7" s="15"/>
      <c r="W7" s="15"/>
      <c r="X7" s="15"/>
      <c r="Y7" s="15"/>
      <c r="Z7" s="15"/>
      <c r="AA7" s="15"/>
    </row>
    <row r="8" spans="1:46" s="2" customFormat="1" ht="18" customHeight="1">
      <c r="A8" s="31"/>
      <c r="B8" s="159"/>
      <c r="C8" s="187"/>
      <c r="D8" s="188"/>
      <c r="E8" s="188"/>
      <c r="F8" s="189"/>
      <c r="G8" s="177" t="s">
        <v>24</v>
      </c>
      <c r="H8" s="178"/>
      <c r="I8" s="178"/>
      <c r="J8" s="179"/>
      <c r="K8" s="181"/>
      <c r="L8" s="181"/>
      <c r="M8" s="182"/>
      <c r="N8" s="182"/>
      <c r="O8" s="32"/>
      <c r="T8" s="15"/>
      <c r="U8" s="15"/>
      <c r="V8" s="15"/>
      <c r="W8" s="15"/>
      <c r="X8" s="15"/>
      <c r="Y8" s="15"/>
      <c r="Z8" s="15"/>
      <c r="AA8" s="15"/>
    </row>
    <row r="9" spans="1:46" s="2" customFormat="1" ht="18" customHeight="1">
      <c r="A9" s="31"/>
      <c r="B9" s="159"/>
      <c r="C9" s="187"/>
      <c r="D9" s="188"/>
      <c r="E9" s="188"/>
      <c r="F9" s="189"/>
      <c r="G9" s="183"/>
      <c r="H9" s="184"/>
      <c r="I9" s="184"/>
      <c r="J9" s="185"/>
      <c r="K9" s="150" t="s">
        <v>25</v>
      </c>
      <c r="L9" s="151"/>
      <c r="M9" s="154">
        <v>80982857</v>
      </c>
      <c r="N9" s="154"/>
      <c r="O9" s="32"/>
      <c r="T9" s="15"/>
      <c r="U9" s="15"/>
      <c r="V9" s="15"/>
      <c r="W9" s="15"/>
      <c r="X9" s="15"/>
      <c r="Y9" s="15"/>
      <c r="Z9" s="15"/>
      <c r="AA9" s="15"/>
    </row>
    <row r="10" spans="1:46" s="2" customFormat="1" ht="18" customHeight="1" thickBot="1">
      <c r="A10" s="31"/>
      <c r="B10" s="159"/>
      <c r="C10" s="190"/>
      <c r="D10" s="191"/>
      <c r="E10" s="191"/>
      <c r="F10" s="192"/>
      <c r="G10" s="156" t="s">
        <v>26</v>
      </c>
      <c r="H10" s="157"/>
      <c r="I10" s="37" t="s">
        <v>27</v>
      </c>
      <c r="J10" s="38" t="s">
        <v>28</v>
      </c>
      <c r="K10" s="152"/>
      <c r="L10" s="153"/>
      <c r="M10" s="155"/>
      <c r="N10" s="155"/>
      <c r="O10" s="32"/>
      <c r="V10" s="7"/>
      <c r="Y10" s="15"/>
    </row>
    <row r="11" spans="1:46" ht="13.5" customHeight="1" thickTop="1">
      <c r="A11" s="39"/>
      <c r="B11" s="159"/>
      <c r="C11" s="172" t="s">
        <v>29</v>
      </c>
      <c r="D11" s="173"/>
      <c r="E11" s="173"/>
      <c r="F11" s="173"/>
      <c r="G11" s="173"/>
      <c r="H11" s="173"/>
      <c r="I11" s="173"/>
      <c r="J11" s="173"/>
      <c r="K11" s="173"/>
      <c r="L11" s="173"/>
      <c r="M11" s="173"/>
      <c r="N11" s="173"/>
      <c r="R11" s="7" t="s">
        <v>30</v>
      </c>
      <c r="S11" s="15"/>
      <c r="V11" s="9"/>
      <c r="Y11" s="7"/>
    </row>
    <row r="12" spans="1:46" ht="35.25" customHeight="1" thickBot="1">
      <c r="A12" s="39"/>
      <c r="B12" s="160"/>
      <c r="C12" s="40" t="s">
        <v>31</v>
      </c>
      <c r="D12" s="119" t="s">
        <v>32</v>
      </c>
      <c r="E12" s="114" t="s">
        <v>33</v>
      </c>
      <c r="F12" s="40" t="s">
        <v>34</v>
      </c>
      <c r="G12" s="174" t="s">
        <v>35</v>
      </c>
      <c r="H12" s="174"/>
      <c r="I12" s="119" t="s">
        <v>36</v>
      </c>
      <c r="J12" s="119" t="s">
        <v>37</v>
      </c>
      <c r="K12" s="41" t="s">
        <v>38</v>
      </c>
      <c r="L12" s="175" t="s">
        <v>39</v>
      </c>
      <c r="M12" s="176"/>
      <c r="N12" s="120" t="s">
        <v>40</v>
      </c>
      <c r="Q12" s="8">
        <v>166104</v>
      </c>
      <c r="R12" s="9" t="s">
        <v>41</v>
      </c>
      <c r="S12" s="20" t="s">
        <v>42</v>
      </c>
      <c r="T12" s="8">
        <v>166104</v>
      </c>
      <c r="U12" s="8"/>
      <c r="V12" s="9"/>
      <c r="W12" s="1" t="s">
        <v>43</v>
      </c>
      <c r="X12" s="1" t="str">
        <f>PROPER(W12)</f>
        <v>Air Travel</v>
      </c>
      <c r="Y12" s="15"/>
    </row>
    <row r="13" spans="1:46" s="5" customFormat="1" ht="15.75" customHeight="1" thickTop="1" thickBot="1">
      <c r="A13" s="36"/>
      <c r="B13" s="17"/>
      <c r="C13" s="118" t="s">
        <v>44</v>
      </c>
      <c r="D13" s="42" t="s">
        <v>45</v>
      </c>
      <c r="E13" s="112"/>
      <c r="F13" s="113" t="s">
        <v>46</v>
      </c>
      <c r="G13" s="129" t="s">
        <v>47</v>
      </c>
      <c r="H13" s="131"/>
      <c r="I13" s="19"/>
      <c r="J13" s="43">
        <v>217.54</v>
      </c>
      <c r="K13" s="44" t="b">
        <v>0</v>
      </c>
      <c r="L13" s="132">
        <f t="shared" ref="L13:L26" si="0">IF(ISERROR(VLOOKUP(D13&amp;K13,S$12:U$31,2,FALSE)),"",VLOOKUP(D13&amp;K13,S$12:U$31,2,FALSE))</f>
        <v>166104</v>
      </c>
      <c r="M13" s="133"/>
      <c r="N13" s="45">
        <f ca="1">SUMIF(L13:M$26,L13,J13:J$26)</f>
        <v>217.54</v>
      </c>
      <c r="O13" s="36"/>
      <c r="P13" s="1"/>
      <c r="Q13" s="8">
        <v>166107</v>
      </c>
      <c r="R13" s="9" t="s">
        <v>48</v>
      </c>
      <c r="S13" s="20" t="s">
        <v>49</v>
      </c>
      <c r="T13" s="8">
        <v>166107</v>
      </c>
      <c r="U13" s="8"/>
      <c r="V13" s="9"/>
      <c r="W13" s="1" t="s">
        <v>50</v>
      </c>
      <c r="X13" s="1" t="str">
        <f t="shared" ref="X13:X76" si="1">PROPER(W13)</f>
        <v>Rail</v>
      </c>
      <c r="Y13" s="15"/>
      <c r="Z13" s="1"/>
      <c r="AA13" s="1"/>
      <c r="AB13" s="1"/>
      <c r="AC13" s="1"/>
      <c r="AD13" s="1"/>
      <c r="AE13" s="1"/>
      <c r="AF13" s="1"/>
      <c r="AG13" s="1"/>
      <c r="AH13" s="1"/>
      <c r="AI13" s="1"/>
      <c r="AJ13" s="1"/>
      <c r="AK13" s="1"/>
      <c r="AL13" s="1"/>
      <c r="AM13" s="1"/>
      <c r="AN13" s="1"/>
      <c r="AO13" s="1"/>
      <c r="AP13" s="1"/>
      <c r="AQ13" s="1"/>
      <c r="AR13" s="1"/>
      <c r="AS13" s="1"/>
      <c r="AT13" s="1"/>
    </row>
    <row r="14" spans="1:46" s="5" customFormat="1" ht="15.75" customHeight="1" thickTop="1" thickBot="1">
      <c r="A14" s="36"/>
      <c r="B14" s="17"/>
      <c r="C14" s="42">
        <v>44440</v>
      </c>
      <c r="D14" s="42" t="s">
        <v>51</v>
      </c>
      <c r="E14" s="112"/>
      <c r="F14" s="113" t="s">
        <v>52</v>
      </c>
      <c r="G14" s="129" t="s">
        <v>47</v>
      </c>
      <c r="H14" s="131"/>
      <c r="I14" s="126">
        <v>20.399999999999999</v>
      </c>
      <c r="J14" s="43">
        <v>16.64</v>
      </c>
      <c r="K14" s="44" t="b">
        <v>0</v>
      </c>
      <c r="L14" s="132">
        <f t="shared" si="0"/>
        <v>166110</v>
      </c>
      <c r="M14" s="133"/>
      <c r="N14" s="45">
        <f t="array" aca="1" ref="N14" ca="1">IF(OR(L14=L13:M$13),0,SUMIF(L14:M$26,L14,J14:J$26))</f>
        <v>210.97999999999996</v>
      </c>
      <c r="O14" s="36"/>
      <c r="Q14" s="8">
        <v>166110</v>
      </c>
      <c r="R14" s="9" t="s">
        <v>53</v>
      </c>
      <c r="S14" s="20" t="s">
        <v>54</v>
      </c>
      <c r="T14" s="8">
        <v>166110</v>
      </c>
      <c r="U14" s="8"/>
      <c r="V14" s="9"/>
      <c r="W14" s="5" t="s">
        <v>55</v>
      </c>
      <c r="X14" s="1" t="str">
        <f t="shared" si="1"/>
        <v>Taxi</v>
      </c>
      <c r="Y14" s="9"/>
    </row>
    <row r="15" spans="1:46" s="5" customFormat="1" ht="15.75" customHeight="1" thickTop="1" thickBot="1">
      <c r="A15" s="36"/>
      <c r="B15" s="17"/>
      <c r="C15" s="42">
        <v>44440</v>
      </c>
      <c r="D15" s="42" t="s">
        <v>51</v>
      </c>
      <c r="E15" s="112"/>
      <c r="F15" s="113" t="s">
        <v>47</v>
      </c>
      <c r="G15" s="129" t="s">
        <v>52</v>
      </c>
      <c r="H15" s="131"/>
      <c r="I15" s="126">
        <v>20.399999999999999</v>
      </c>
      <c r="J15" s="43">
        <v>16.64</v>
      </c>
      <c r="K15" s="44" t="b">
        <v>0</v>
      </c>
      <c r="L15" s="132">
        <f t="shared" si="0"/>
        <v>166110</v>
      </c>
      <c r="M15" s="133"/>
      <c r="N15" s="45">
        <f t="array" ref="N15">IF(OR(L15=L$13:M14),0,SUMIF(L15:M$26,L15,J15:J$26))</f>
        <v>0</v>
      </c>
      <c r="O15" s="36"/>
      <c r="Q15" s="8">
        <v>166113</v>
      </c>
      <c r="R15" s="9" t="s">
        <v>56</v>
      </c>
      <c r="S15" s="20" t="s">
        <v>57</v>
      </c>
      <c r="T15" s="8">
        <v>166113</v>
      </c>
      <c r="U15" s="8"/>
      <c r="V15" s="9"/>
      <c r="W15" s="5" t="s">
        <v>58</v>
      </c>
      <c r="X15" s="1" t="str">
        <f t="shared" si="1"/>
        <v>Car Hire</v>
      </c>
      <c r="Y15" s="9"/>
    </row>
    <row r="16" spans="1:46" s="5" customFormat="1" ht="15.75" customHeight="1" thickTop="1" thickBot="1">
      <c r="A16" s="36"/>
      <c r="B16" s="17"/>
      <c r="C16" s="42">
        <v>44445</v>
      </c>
      <c r="D16" s="42" t="s">
        <v>51</v>
      </c>
      <c r="E16" s="112"/>
      <c r="F16" s="113" t="s">
        <v>47</v>
      </c>
      <c r="G16" s="129" t="s">
        <v>52</v>
      </c>
      <c r="H16" s="131"/>
      <c r="I16" s="126">
        <v>20.399999999999999</v>
      </c>
      <c r="J16" s="43">
        <v>16.64</v>
      </c>
      <c r="K16" s="44" t="b">
        <v>0</v>
      </c>
      <c r="L16" s="132">
        <f t="shared" si="0"/>
        <v>166110</v>
      </c>
      <c r="M16" s="133"/>
      <c r="N16" s="45">
        <f t="array" ref="N16">IF(OR(L16=L$13:M15),0,SUMIF(L16:M$26,L16,J16:J$26))</f>
        <v>0</v>
      </c>
      <c r="O16" s="36"/>
      <c r="Q16" s="8">
        <v>166113</v>
      </c>
      <c r="R16" s="9" t="s">
        <v>56</v>
      </c>
      <c r="S16" s="20" t="s">
        <v>57</v>
      </c>
      <c r="T16" s="8">
        <v>166113</v>
      </c>
      <c r="U16" s="8"/>
      <c r="V16" s="9"/>
      <c r="W16" s="5" t="s">
        <v>58</v>
      </c>
      <c r="X16" s="1" t="str">
        <f t="shared" ref="X16" si="2">PROPER(W16)</f>
        <v>Car Hire</v>
      </c>
      <c r="Y16" s="9"/>
    </row>
    <row r="17" spans="1:46" s="5" customFormat="1" ht="15.75" customHeight="1" thickTop="1" thickBot="1">
      <c r="A17" s="36"/>
      <c r="B17" s="17"/>
      <c r="C17" s="42">
        <v>44445</v>
      </c>
      <c r="D17" s="42" t="s">
        <v>51</v>
      </c>
      <c r="E17" s="112"/>
      <c r="F17" s="113" t="s">
        <v>52</v>
      </c>
      <c r="G17" s="129" t="s">
        <v>47</v>
      </c>
      <c r="H17" s="131"/>
      <c r="I17" s="126">
        <v>20.399999999999999</v>
      </c>
      <c r="J17" s="43">
        <v>16.64</v>
      </c>
      <c r="K17" s="44" t="b">
        <v>0</v>
      </c>
      <c r="L17" s="132">
        <f t="shared" si="0"/>
        <v>166110</v>
      </c>
      <c r="M17" s="133"/>
      <c r="N17" s="45">
        <f t="array" ref="N17">IF(OR(L17=L$13:M16),0,SUMIF(L17:M$26,L17,J17:J$26))</f>
        <v>0</v>
      </c>
      <c r="O17" s="36"/>
      <c r="Q17" s="8"/>
      <c r="R17" s="9"/>
      <c r="S17" s="20"/>
      <c r="T17" s="8"/>
      <c r="U17" s="8"/>
      <c r="V17" s="9"/>
      <c r="X17" s="1"/>
      <c r="Y17" s="9"/>
    </row>
    <row r="18" spans="1:46" s="5" customFormat="1" ht="15.75" customHeight="1" thickTop="1" thickBot="1">
      <c r="A18" s="36"/>
      <c r="B18" s="17"/>
      <c r="C18" s="42">
        <v>44446</v>
      </c>
      <c r="D18" s="42" t="s">
        <v>51</v>
      </c>
      <c r="E18" s="112"/>
      <c r="F18" s="113" t="s">
        <v>47</v>
      </c>
      <c r="G18" s="129" t="s">
        <v>52</v>
      </c>
      <c r="H18" s="131"/>
      <c r="I18" s="126">
        <v>20.399999999999999</v>
      </c>
      <c r="J18" s="43">
        <v>16.64</v>
      </c>
      <c r="K18" s="44" t="b">
        <v>0</v>
      </c>
      <c r="L18" s="132">
        <f t="shared" si="0"/>
        <v>166110</v>
      </c>
      <c r="M18" s="133"/>
      <c r="N18" s="45">
        <f t="array" ref="N18">IF(OR(L18=L$13:M17),0,SUMIF(L18:M$26,L18,J18:J$26))</f>
        <v>0</v>
      </c>
      <c r="O18" s="36"/>
      <c r="Q18" s="8">
        <v>166113</v>
      </c>
      <c r="R18" s="9" t="s">
        <v>56</v>
      </c>
      <c r="S18" s="20" t="s">
        <v>57</v>
      </c>
      <c r="T18" s="8">
        <v>166113</v>
      </c>
      <c r="U18" s="8"/>
      <c r="V18" s="9"/>
      <c r="W18" s="5" t="s">
        <v>58</v>
      </c>
      <c r="X18" s="1" t="str">
        <f t="shared" ref="X18" si="3">PROPER(W18)</f>
        <v>Car Hire</v>
      </c>
      <c r="Y18" s="9"/>
    </row>
    <row r="19" spans="1:46" s="5" customFormat="1" ht="15.75" customHeight="1" thickTop="1" thickBot="1">
      <c r="A19" s="36"/>
      <c r="B19" s="17"/>
      <c r="C19" s="42">
        <v>44446</v>
      </c>
      <c r="D19" s="42" t="s">
        <v>51</v>
      </c>
      <c r="E19" s="112"/>
      <c r="F19" s="113" t="s">
        <v>52</v>
      </c>
      <c r="G19" s="129" t="s">
        <v>47</v>
      </c>
      <c r="H19" s="131"/>
      <c r="I19" s="126">
        <v>20.399999999999999</v>
      </c>
      <c r="J19" s="43">
        <v>16.64</v>
      </c>
      <c r="K19" s="44" t="b">
        <v>0</v>
      </c>
      <c r="L19" s="132">
        <f t="shared" si="0"/>
        <v>166110</v>
      </c>
      <c r="M19" s="133"/>
      <c r="N19" s="45">
        <f t="array" ref="N19">IF(OR(L19=L$13:M18),0,SUMIF(L19:M$26,L19,J19:J$26))</f>
        <v>0</v>
      </c>
      <c r="O19" s="36"/>
      <c r="Q19" s="8"/>
      <c r="R19" s="9"/>
      <c r="S19" s="20"/>
      <c r="T19" s="8"/>
      <c r="U19" s="8"/>
      <c r="V19" s="9"/>
      <c r="X19" s="1"/>
      <c r="Y19" s="9"/>
    </row>
    <row r="20" spans="1:46" s="5" customFormat="1" ht="15.75" customHeight="1" thickTop="1" thickBot="1">
      <c r="A20" s="36"/>
      <c r="B20" s="17"/>
      <c r="C20" s="42">
        <v>44447</v>
      </c>
      <c r="D20" s="42" t="s">
        <v>51</v>
      </c>
      <c r="E20" s="112"/>
      <c r="F20" s="113" t="s">
        <v>52</v>
      </c>
      <c r="G20" s="129" t="s">
        <v>47</v>
      </c>
      <c r="H20" s="131"/>
      <c r="I20" s="126">
        <v>20.399999999999999</v>
      </c>
      <c r="J20" s="43">
        <v>16.64</v>
      </c>
      <c r="K20" s="44" t="b">
        <v>0</v>
      </c>
      <c r="L20" s="132">
        <f t="shared" si="0"/>
        <v>166110</v>
      </c>
      <c r="M20" s="133"/>
      <c r="N20" s="45">
        <f t="array" ref="N20">IF(OR(L20=L$13:M19),0,SUMIF(L20:M$26,L20,J20:J$26))</f>
        <v>0</v>
      </c>
      <c r="O20" s="36"/>
      <c r="Q20" s="8"/>
      <c r="R20" s="9"/>
      <c r="S20" s="20"/>
      <c r="T20" s="8"/>
      <c r="U20" s="8"/>
      <c r="V20" s="9"/>
      <c r="X20" s="1"/>
      <c r="Y20" s="9"/>
    </row>
    <row r="21" spans="1:46" s="5" customFormat="1" ht="15.75" customHeight="1" thickTop="1" thickBot="1">
      <c r="A21" s="36"/>
      <c r="B21" s="17"/>
      <c r="C21" s="42">
        <v>44447</v>
      </c>
      <c r="D21" s="42" t="s">
        <v>51</v>
      </c>
      <c r="E21" s="112"/>
      <c r="F21" s="113" t="s">
        <v>52</v>
      </c>
      <c r="G21" s="129" t="s">
        <v>47</v>
      </c>
      <c r="H21" s="131"/>
      <c r="I21" s="126">
        <v>20.399999999999999</v>
      </c>
      <c r="J21" s="43">
        <v>16.64</v>
      </c>
      <c r="K21" s="44" t="b">
        <v>0</v>
      </c>
      <c r="L21" s="132">
        <f t="shared" si="0"/>
        <v>166110</v>
      </c>
      <c r="M21" s="133"/>
      <c r="N21" s="45">
        <f t="array" ref="N21">IF(OR(L21=L$13:M20),0,SUMIF(L21:M$26,L21,J21:J$26))</f>
        <v>0</v>
      </c>
      <c r="O21" s="36"/>
      <c r="Q21" s="8"/>
      <c r="R21" s="9"/>
      <c r="S21" s="20"/>
      <c r="T21" s="8"/>
      <c r="U21" s="8"/>
      <c r="V21" s="9"/>
      <c r="X21" s="1"/>
      <c r="Y21" s="9"/>
    </row>
    <row r="22" spans="1:46" s="5" customFormat="1" ht="15.75" customHeight="1" thickTop="1" thickBot="1">
      <c r="A22" s="36"/>
      <c r="B22" s="17"/>
      <c r="C22" s="42">
        <v>44448</v>
      </c>
      <c r="D22" s="42" t="s">
        <v>51</v>
      </c>
      <c r="E22" s="112"/>
      <c r="F22" s="113" t="s">
        <v>52</v>
      </c>
      <c r="G22" s="129" t="s">
        <v>47</v>
      </c>
      <c r="H22" s="131"/>
      <c r="I22" s="126">
        <v>20.399999999999999</v>
      </c>
      <c r="J22" s="43">
        <v>16.64</v>
      </c>
      <c r="K22" s="44" t="b">
        <v>0</v>
      </c>
      <c r="L22" s="132">
        <f t="shared" si="0"/>
        <v>166110</v>
      </c>
      <c r="M22" s="133"/>
      <c r="N22" s="45">
        <f t="array" ref="N22">IF(OR(L22=L$13:M21),0,SUMIF(L22:M$26,L22,J22:J$26))</f>
        <v>0</v>
      </c>
      <c r="O22" s="36"/>
      <c r="Q22" s="8"/>
      <c r="R22" s="9"/>
      <c r="S22" s="20"/>
      <c r="T22" s="8"/>
      <c r="U22" s="8"/>
      <c r="V22" s="9"/>
      <c r="X22" s="1"/>
      <c r="Y22" s="9"/>
    </row>
    <row r="23" spans="1:46" s="5" customFormat="1" ht="15.75" customHeight="1" thickTop="1" thickBot="1">
      <c r="A23" s="36"/>
      <c r="B23" s="17"/>
      <c r="C23" s="42">
        <v>44448</v>
      </c>
      <c r="D23" s="42" t="s">
        <v>51</v>
      </c>
      <c r="E23" s="112"/>
      <c r="F23" s="113" t="s">
        <v>52</v>
      </c>
      <c r="G23" s="129" t="s">
        <v>47</v>
      </c>
      <c r="H23" s="131"/>
      <c r="I23" s="126">
        <v>20.399999999999999</v>
      </c>
      <c r="J23" s="43">
        <v>16.64</v>
      </c>
      <c r="K23" s="44" t="b">
        <v>0</v>
      </c>
      <c r="L23" s="132">
        <f t="shared" si="0"/>
        <v>166110</v>
      </c>
      <c r="M23" s="133"/>
      <c r="N23" s="45">
        <f t="array" ref="N23">IF(OR(L23=L$13:M22),0,SUMIF(L23:M$26,L23,J23:J$26))</f>
        <v>0</v>
      </c>
      <c r="O23" s="36"/>
      <c r="Q23" s="8"/>
      <c r="R23" s="9"/>
      <c r="S23" s="20"/>
      <c r="T23" s="8"/>
      <c r="U23" s="8"/>
      <c r="V23" s="9"/>
      <c r="X23" s="1"/>
      <c r="Y23" s="9"/>
    </row>
    <row r="24" spans="1:46" s="5" customFormat="1" ht="15.75" customHeight="1" thickTop="1" thickBot="1">
      <c r="A24" s="36"/>
      <c r="B24" s="17"/>
      <c r="C24" s="42">
        <v>44449</v>
      </c>
      <c r="D24" s="42" t="s">
        <v>51</v>
      </c>
      <c r="E24" s="112"/>
      <c r="F24" s="113" t="s">
        <v>52</v>
      </c>
      <c r="G24" s="129" t="s">
        <v>47</v>
      </c>
      <c r="H24" s="131"/>
      <c r="I24" s="126">
        <v>20.399999999999999</v>
      </c>
      <c r="J24" s="43">
        <v>16.64</v>
      </c>
      <c r="K24" s="44" t="b">
        <v>0</v>
      </c>
      <c r="L24" s="132">
        <f t="shared" si="0"/>
        <v>166110</v>
      </c>
      <c r="M24" s="133"/>
      <c r="N24" s="45">
        <f t="array" ref="N24">IF(OR(L24=L$13:M23),0,SUMIF(L24:M$26,L24,J24:J$26))</f>
        <v>0</v>
      </c>
      <c r="O24" s="36"/>
      <c r="Q24" s="8"/>
      <c r="R24" s="9"/>
      <c r="S24" s="20"/>
      <c r="T24" s="8"/>
      <c r="U24" s="8"/>
      <c r="V24" s="9"/>
      <c r="X24" s="1"/>
      <c r="Y24" s="9"/>
    </row>
    <row r="25" spans="1:46" s="5" customFormat="1" ht="15.75" customHeight="1" thickTop="1" thickBot="1">
      <c r="A25" s="36"/>
      <c r="B25" s="17"/>
      <c r="C25" s="42">
        <v>44449</v>
      </c>
      <c r="D25" s="42" t="s">
        <v>51</v>
      </c>
      <c r="E25" s="112"/>
      <c r="F25" s="113" t="s">
        <v>52</v>
      </c>
      <c r="G25" s="129" t="s">
        <v>47</v>
      </c>
      <c r="H25" s="131"/>
      <c r="I25" s="126">
        <v>20.399999999999999</v>
      </c>
      <c r="J25" s="43">
        <v>16.64</v>
      </c>
      <c r="K25" s="44" t="b">
        <v>0</v>
      </c>
      <c r="L25" s="132">
        <f t="shared" si="0"/>
        <v>166110</v>
      </c>
      <c r="M25" s="133"/>
      <c r="N25" s="45">
        <f t="array" ref="N25">IF(OR(L25=L$13:M24),0,SUMIF(L25:M$26,L25,J25:J$26))</f>
        <v>0</v>
      </c>
      <c r="O25" s="36"/>
      <c r="Q25" s="8"/>
      <c r="R25" s="9"/>
      <c r="S25" s="20"/>
      <c r="T25" s="8"/>
      <c r="U25" s="8"/>
      <c r="V25" s="9"/>
      <c r="X25" s="1"/>
      <c r="Y25" s="9"/>
    </row>
    <row r="26" spans="1:46" s="5" customFormat="1" ht="15.75" customHeight="1" thickTop="1" thickBot="1">
      <c r="A26" s="36"/>
      <c r="B26" s="17"/>
      <c r="C26" s="42">
        <v>44454</v>
      </c>
      <c r="D26" s="42" t="s">
        <v>51</v>
      </c>
      <c r="E26" s="112"/>
      <c r="F26" s="113" t="s">
        <v>52</v>
      </c>
      <c r="G26" s="129" t="s">
        <v>59</v>
      </c>
      <c r="H26" s="131"/>
      <c r="I26" s="126">
        <v>14.4</v>
      </c>
      <c r="J26" s="43">
        <v>11.3</v>
      </c>
      <c r="K26" s="44" t="b">
        <v>0</v>
      </c>
      <c r="L26" s="132">
        <f t="shared" si="0"/>
        <v>166110</v>
      </c>
      <c r="M26" s="133"/>
      <c r="N26" s="45">
        <f t="array" ref="N26">IF(OR(L26=L$13:M25),0,SUMIF(L26:M$26,L26,J26:J$26))</f>
        <v>0</v>
      </c>
      <c r="O26" s="36"/>
      <c r="Q26" s="8">
        <v>166128</v>
      </c>
      <c r="R26" s="9" t="s">
        <v>55</v>
      </c>
      <c r="S26" s="20" t="s">
        <v>60</v>
      </c>
      <c r="T26" s="8">
        <v>166128</v>
      </c>
      <c r="U26" s="8"/>
      <c r="V26" s="9"/>
      <c r="X26" s="1" t="str">
        <f t="shared" si="1"/>
        <v/>
      </c>
      <c r="Y26" s="9"/>
    </row>
    <row r="27" spans="1:46" ht="15.75" customHeight="1" thickTop="1">
      <c r="B27" s="39"/>
      <c r="C27" s="172" t="s">
        <v>61</v>
      </c>
      <c r="D27" s="173"/>
      <c r="E27" s="173"/>
      <c r="F27" s="173"/>
      <c r="G27" s="173"/>
      <c r="H27" s="173"/>
      <c r="I27" s="173"/>
      <c r="J27" s="46">
        <f>SUM(J13:J26)</f>
        <v>428.51999999999987</v>
      </c>
      <c r="K27" s="47"/>
      <c r="L27" s="48"/>
      <c r="M27" s="48"/>
      <c r="N27" s="49">
        <f ca="1">SUM(N13:N26)</f>
        <v>428.52</v>
      </c>
      <c r="P27" s="5"/>
      <c r="Q27" s="8">
        <v>166128</v>
      </c>
      <c r="R27" s="9" t="s">
        <v>55</v>
      </c>
      <c r="S27" s="20" t="s">
        <v>62</v>
      </c>
      <c r="T27" s="8">
        <v>166128</v>
      </c>
      <c r="U27" s="8"/>
      <c r="V27" s="9"/>
      <c r="W27" s="50" t="s">
        <v>63</v>
      </c>
      <c r="X27" s="1" t="str">
        <f t="shared" si="1"/>
        <v>↓↓↓↓Common Types↓↓↓↓</v>
      </c>
      <c r="Y27" s="9"/>
      <c r="Z27" s="5"/>
      <c r="AA27" s="5"/>
      <c r="AB27" s="5"/>
      <c r="AC27" s="5"/>
      <c r="AD27" s="5"/>
      <c r="AE27" s="5"/>
      <c r="AF27" s="5"/>
      <c r="AG27" s="5"/>
      <c r="AH27" s="5"/>
      <c r="AI27" s="5"/>
      <c r="AJ27" s="5"/>
      <c r="AK27" s="5"/>
      <c r="AL27" s="5"/>
      <c r="AM27" s="5"/>
      <c r="AN27" s="5"/>
      <c r="AO27" s="5"/>
      <c r="AP27" s="5"/>
      <c r="AQ27" s="5"/>
      <c r="AR27" s="5"/>
      <c r="AS27" s="5"/>
      <c r="AT27" s="5"/>
    </row>
    <row r="28" spans="1:46" ht="25.5" customHeight="1">
      <c r="B28" s="39"/>
      <c r="C28" s="51" t="s">
        <v>64</v>
      </c>
      <c r="D28" s="121" t="s">
        <v>65</v>
      </c>
      <c r="E28" s="202" t="s">
        <v>66</v>
      </c>
      <c r="F28" s="203"/>
      <c r="G28" s="204" t="s">
        <v>67</v>
      </c>
      <c r="H28" s="205"/>
      <c r="I28" s="205"/>
      <c r="J28" s="202" t="s">
        <v>68</v>
      </c>
      <c r="K28" s="203"/>
      <c r="L28" s="52"/>
      <c r="M28" s="52"/>
      <c r="N28" s="52"/>
      <c r="Q28" s="8">
        <v>166131</v>
      </c>
      <c r="R28" s="9" t="s">
        <v>69</v>
      </c>
      <c r="S28" s="20" t="s">
        <v>70</v>
      </c>
      <c r="T28" s="8">
        <v>166131</v>
      </c>
      <c r="U28" s="8"/>
      <c r="V28" s="7"/>
      <c r="W28" t="s">
        <v>71</v>
      </c>
      <c r="X28" s="1" t="str">
        <f t="shared" si="1"/>
        <v>Books</v>
      </c>
      <c r="Y28" s="15"/>
    </row>
    <row r="29" spans="1:46" ht="12" customHeight="1">
      <c r="C29" s="53"/>
      <c r="D29" s="54"/>
      <c r="E29" s="54"/>
      <c r="F29" s="54"/>
      <c r="G29" s="54"/>
      <c r="H29" s="54"/>
      <c r="I29" s="54"/>
      <c r="J29" s="54"/>
      <c r="K29" s="54"/>
      <c r="L29" s="54"/>
      <c r="M29" s="54"/>
      <c r="N29" s="54"/>
      <c r="Q29" s="8">
        <v>166134</v>
      </c>
      <c r="R29" s="9" t="s">
        <v>72</v>
      </c>
      <c r="S29" s="20" t="s">
        <v>73</v>
      </c>
      <c r="T29" s="8">
        <v>166134</v>
      </c>
      <c r="U29" s="8"/>
      <c r="V29" s="9"/>
      <c r="W29" s="55" t="s">
        <v>74</v>
      </c>
      <c r="X29" s="1" t="str">
        <f t="shared" si="1"/>
        <v>Conference Fees</v>
      </c>
      <c r="Y29" s="15"/>
    </row>
    <row r="30" spans="1:46" ht="15.75" customHeight="1">
      <c r="B30" s="39"/>
      <c r="C30" s="56" t="s">
        <v>75</v>
      </c>
      <c r="D30" s="57"/>
      <c r="E30" s="57"/>
      <c r="F30" s="57"/>
      <c r="G30" s="57"/>
      <c r="H30" s="57"/>
      <c r="I30" s="57"/>
      <c r="J30" s="57"/>
      <c r="K30" s="57"/>
      <c r="L30" s="57"/>
      <c r="M30" s="57"/>
      <c r="N30" s="58"/>
      <c r="Q30" s="8">
        <v>166137</v>
      </c>
      <c r="R30" s="9" t="s">
        <v>76</v>
      </c>
      <c r="S30" s="9" t="s">
        <v>77</v>
      </c>
      <c r="T30" s="8">
        <v>166137</v>
      </c>
      <c r="U30" s="8"/>
      <c r="V30" s="9"/>
      <c r="W30" t="s">
        <v>78</v>
      </c>
      <c r="X30" s="1" t="str">
        <f t="shared" si="1"/>
        <v>Equipment Purchase</v>
      </c>
      <c r="Y30" s="15"/>
    </row>
    <row r="31" spans="1:46" ht="32.25" customHeight="1" thickBot="1">
      <c r="B31" s="39"/>
      <c r="C31" s="40" t="s">
        <v>79</v>
      </c>
      <c r="D31" s="119" t="s">
        <v>80</v>
      </c>
      <c r="E31" s="110" t="s">
        <v>33</v>
      </c>
      <c r="F31" s="111" t="s">
        <v>34</v>
      </c>
      <c r="G31" s="174" t="s">
        <v>35</v>
      </c>
      <c r="H31" s="174"/>
      <c r="I31" s="119" t="s">
        <v>81</v>
      </c>
      <c r="J31" s="59" t="s">
        <v>37</v>
      </c>
      <c r="K31" s="41" t="s">
        <v>82</v>
      </c>
      <c r="L31" s="175" t="s">
        <v>39</v>
      </c>
      <c r="M31" s="176"/>
      <c r="N31" s="120" t="s">
        <v>40</v>
      </c>
      <c r="Q31" s="8">
        <v>166137</v>
      </c>
      <c r="R31" s="9" t="s">
        <v>76</v>
      </c>
      <c r="S31" s="9" t="s">
        <v>83</v>
      </c>
      <c r="T31" s="8">
        <v>166137</v>
      </c>
      <c r="U31" s="8"/>
      <c r="V31" s="7"/>
      <c r="W31" t="s">
        <v>84</v>
      </c>
      <c r="X31" s="1" t="str">
        <f t="shared" si="1"/>
        <v>Examination Fees</v>
      </c>
      <c r="Y31" s="15"/>
    </row>
    <row r="32" spans="1:46" s="5" customFormat="1" ht="15.75" customHeight="1" thickTop="1" thickBot="1">
      <c r="A32" s="36"/>
      <c r="B32" s="17"/>
      <c r="C32" s="42"/>
      <c r="D32" s="124"/>
      <c r="E32" s="112"/>
      <c r="F32" s="113"/>
      <c r="G32" s="201"/>
      <c r="H32" s="201"/>
      <c r="I32" s="19">
        <v>0.45</v>
      </c>
      <c r="J32" s="60" t="str">
        <f>IF(D32&lt;&gt;"",I32*D32,"")</f>
        <v/>
      </c>
      <c r="K32" s="44" t="b">
        <v>0</v>
      </c>
      <c r="L32" s="132" t="str">
        <f>IF(J32&lt;&gt;"",VLOOKUP("MILEAGE"&amp;K32,S$36:T$37,2,FALSE),"")</f>
        <v/>
      </c>
      <c r="M32" s="133"/>
      <c r="N32" s="45">
        <f ca="1">SUMIF(L$32:M34,L32,J$32:J34)</f>
        <v>0</v>
      </c>
      <c r="O32" s="36"/>
      <c r="P32" s="1"/>
      <c r="Q32" s="8">
        <v>166140</v>
      </c>
      <c r="R32" s="9" t="s">
        <v>85</v>
      </c>
      <c r="S32" s="9"/>
      <c r="T32" s="8">
        <v>166140</v>
      </c>
      <c r="V32" s="9"/>
      <c r="W32" t="s">
        <v>86</v>
      </c>
      <c r="X32" s="1" t="str">
        <f t="shared" si="1"/>
        <v>Hotel / Subsistence</v>
      </c>
      <c r="Y32" s="15"/>
      <c r="Z32" s="1"/>
      <c r="AA32" s="1"/>
      <c r="AB32" s="1"/>
      <c r="AC32" s="1"/>
      <c r="AD32" s="1"/>
      <c r="AE32" s="1"/>
      <c r="AF32" s="1"/>
      <c r="AG32" s="1"/>
      <c r="AH32" s="1"/>
      <c r="AI32" s="1"/>
      <c r="AJ32" s="1"/>
      <c r="AK32" s="1"/>
      <c r="AL32" s="1"/>
      <c r="AM32" s="1"/>
      <c r="AN32" s="1"/>
      <c r="AO32" s="1"/>
      <c r="AP32" s="1"/>
      <c r="AQ32" s="1"/>
      <c r="AR32" s="1"/>
      <c r="AS32" s="1"/>
      <c r="AT32" s="1"/>
    </row>
    <row r="33" spans="1:46" s="5" customFormat="1" ht="15.75" customHeight="1" thickTop="1" thickBot="1">
      <c r="A33" s="36"/>
      <c r="B33" s="17"/>
      <c r="C33" s="42"/>
      <c r="D33" s="124"/>
      <c r="E33" s="112"/>
      <c r="F33" s="113"/>
      <c r="G33" s="201"/>
      <c r="H33" s="201"/>
      <c r="I33" s="19">
        <v>0.45</v>
      </c>
      <c r="J33" s="60" t="str">
        <f>IF(D33&lt;&gt;"",I33*D33,"")</f>
        <v/>
      </c>
      <c r="K33" s="44" t="b">
        <v>0</v>
      </c>
      <c r="L33" s="132" t="str">
        <f>IF(J33&lt;&gt;"",VLOOKUP("MILEAGE"&amp;K33,S$36:T$37,2,FALSE),"")</f>
        <v/>
      </c>
      <c r="M33" s="133"/>
      <c r="N33" s="45">
        <f t="array" ref="N33">IF(OR(L33=L$32:M32),0,SUMIF(L33:M$34,L33,J33:J$34))</f>
        <v>0</v>
      </c>
      <c r="O33" s="36"/>
      <c r="U33" s="1"/>
      <c r="V33" s="9"/>
      <c r="W33" t="s">
        <v>87</v>
      </c>
      <c r="X33" s="1" t="str">
        <f t="shared" si="1"/>
        <v>Internet Cost</v>
      </c>
      <c r="Y33" s="9"/>
    </row>
    <row r="34" spans="1:46" s="5" customFormat="1" ht="15.75" customHeight="1" thickTop="1" thickBot="1">
      <c r="A34" s="36"/>
      <c r="B34" s="17"/>
      <c r="C34" s="42"/>
      <c r="D34" s="124"/>
      <c r="E34" s="112"/>
      <c r="F34" s="113"/>
      <c r="G34" s="201"/>
      <c r="H34" s="201"/>
      <c r="I34" s="19">
        <v>0.45</v>
      </c>
      <c r="J34" s="60" t="str">
        <f>IF(D34&lt;&gt;"",I34*D34,"")</f>
        <v/>
      </c>
      <c r="K34" s="44" t="b">
        <v>0</v>
      </c>
      <c r="L34" s="132" t="str">
        <f>IF(J34&lt;&gt;"",VLOOKUP("MILEAGE"&amp;K34,S$36:T$37,2,FALSE),"")</f>
        <v/>
      </c>
      <c r="M34" s="133"/>
      <c r="N34" s="45">
        <f t="array" ref="N34">IF(OR(L34=L$32:M33),0,SUMIF(L34:M$34,L34,J34:J$34))</f>
        <v>0</v>
      </c>
      <c r="O34" s="36"/>
      <c r="U34" s="1"/>
      <c r="V34" s="9"/>
      <c r="W34" t="s">
        <v>88</v>
      </c>
      <c r="X34" s="1" t="str">
        <f t="shared" si="1"/>
        <v>Lab Supplies</v>
      </c>
      <c r="Y34" s="9"/>
    </row>
    <row r="35" spans="1:46" ht="15.75" customHeight="1" thickTop="1">
      <c r="B35" s="39"/>
      <c r="C35" s="213" t="s">
        <v>89</v>
      </c>
      <c r="D35" s="214"/>
      <c r="E35" s="214"/>
      <c r="F35" s="214"/>
      <c r="G35" s="214"/>
      <c r="H35" s="214"/>
      <c r="I35" s="214"/>
      <c r="J35" s="61">
        <f>SUM(J32:J34)</f>
        <v>0</v>
      </c>
      <c r="K35" s="62"/>
      <c r="L35" s="48"/>
      <c r="M35" s="48"/>
      <c r="N35" s="49">
        <f ca="1">SUM(N32:N34)</f>
        <v>0</v>
      </c>
      <c r="P35" s="5"/>
      <c r="R35" s="12" t="s">
        <v>90</v>
      </c>
      <c r="V35" s="7"/>
      <c r="W35" t="s">
        <v>91</v>
      </c>
      <c r="X35" s="1" t="str">
        <f t="shared" si="1"/>
        <v>Membership Subs.</v>
      </c>
      <c r="Y35" s="9"/>
      <c r="Z35" s="5"/>
      <c r="AA35" s="5"/>
      <c r="AB35" s="5"/>
      <c r="AC35" s="5"/>
      <c r="AD35" s="5"/>
      <c r="AE35" s="5"/>
      <c r="AF35" s="5"/>
      <c r="AG35" s="5"/>
      <c r="AH35" s="5"/>
      <c r="AI35" s="5"/>
      <c r="AJ35" s="5"/>
      <c r="AK35" s="5"/>
      <c r="AL35" s="5"/>
      <c r="AM35" s="5"/>
      <c r="AN35" s="5"/>
      <c r="AO35" s="5"/>
      <c r="AP35" s="5"/>
      <c r="AQ35" s="5"/>
      <c r="AR35" s="5"/>
      <c r="AS35" s="5"/>
      <c r="AT35" s="5"/>
    </row>
    <row r="36" spans="1:46" ht="25.5" customHeight="1">
      <c r="B36" s="39"/>
      <c r="C36" s="51" t="s">
        <v>64</v>
      </c>
      <c r="D36" s="121" t="s">
        <v>65</v>
      </c>
      <c r="E36" s="202"/>
      <c r="F36" s="203"/>
      <c r="G36" s="204" t="s">
        <v>67</v>
      </c>
      <c r="H36" s="205"/>
      <c r="I36" s="205"/>
      <c r="J36" s="202"/>
      <c r="K36" s="203"/>
      <c r="L36" s="52"/>
      <c r="M36" s="52"/>
      <c r="N36" s="52"/>
      <c r="Q36" s="8">
        <v>166122</v>
      </c>
      <c r="R36" s="9" t="s">
        <v>92</v>
      </c>
      <c r="S36" s="1" t="s">
        <v>93</v>
      </c>
      <c r="T36" s="8">
        <v>166122</v>
      </c>
      <c r="U36" s="5"/>
      <c r="V36" s="7"/>
      <c r="W36" t="s">
        <v>94</v>
      </c>
      <c r="X36" s="1" t="str">
        <f t="shared" si="1"/>
        <v>Mobile Calls/Rent</v>
      </c>
      <c r="Y36" s="15"/>
    </row>
    <row r="37" spans="1:46" ht="12" customHeight="1">
      <c r="C37" s="53"/>
      <c r="D37" s="54"/>
      <c r="E37" s="54"/>
      <c r="F37" s="54"/>
      <c r="G37" s="54"/>
      <c r="H37" s="54"/>
      <c r="I37" s="54"/>
      <c r="J37" s="215"/>
      <c r="K37" s="216"/>
      <c r="L37" s="216"/>
      <c r="M37" s="216"/>
      <c r="N37" s="216"/>
      <c r="P37" s="5"/>
      <c r="Q37" s="8">
        <v>166125</v>
      </c>
      <c r="R37" s="9" t="s">
        <v>95</v>
      </c>
      <c r="S37" s="9" t="s">
        <v>96</v>
      </c>
      <c r="T37" s="8">
        <v>166125</v>
      </c>
      <c r="V37" s="9"/>
      <c r="W37" t="s">
        <v>97</v>
      </c>
      <c r="X37" s="1" t="str">
        <f t="shared" si="1"/>
        <v>Office Sundries</v>
      </c>
      <c r="Y37" s="9"/>
      <c r="Z37" s="5"/>
      <c r="AA37" s="5"/>
      <c r="AB37" s="5"/>
      <c r="AC37" s="5"/>
      <c r="AD37" s="5"/>
      <c r="AE37" s="5"/>
      <c r="AF37" s="5"/>
      <c r="AG37" s="5"/>
      <c r="AH37" s="5"/>
      <c r="AI37" s="5"/>
      <c r="AJ37" s="5"/>
      <c r="AK37" s="5"/>
      <c r="AL37" s="5"/>
      <c r="AM37" s="5"/>
      <c r="AN37" s="5"/>
      <c r="AO37" s="5"/>
      <c r="AP37" s="5"/>
      <c r="AQ37" s="5"/>
      <c r="AR37" s="5"/>
      <c r="AS37" s="5"/>
      <c r="AT37" s="5"/>
    </row>
    <row r="38" spans="1:46" ht="15.75" customHeight="1">
      <c r="B38" s="39"/>
      <c r="C38" s="217" t="s">
        <v>98</v>
      </c>
      <c r="D38" s="218"/>
      <c r="E38" s="218"/>
      <c r="F38" s="218"/>
      <c r="G38" s="218"/>
      <c r="H38" s="218"/>
      <c r="I38" s="218"/>
      <c r="J38" s="218"/>
      <c r="K38" s="218"/>
      <c r="L38" s="218"/>
      <c r="M38" s="218"/>
      <c r="N38" s="218"/>
      <c r="S38" s="10"/>
      <c r="U38" s="5"/>
      <c r="V38" s="9"/>
      <c r="W38" t="s">
        <v>99</v>
      </c>
      <c r="X38" s="1" t="str">
        <f t="shared" si="1"/>
        <v>Prizes / Awards</v>
      </c>
      <c r="Y38" s="15"/>
    </row>
    <row r="39" spans="1:46" ht="35.25" customHeight="1" thickBot="1">
      <c r="B39" s="39"/>
      <c r="C39" s="63" t="s">
        <v>31</v>
      </c>
      <c r="D39" s="122" t="s">
        <v>100</v>
      </c>
      <c r="E39" s="206" t="s">
        <v>101</v>
      </c>
      <c r="F39" s="207"/>
      <c r="G39" s="208" t="s">
        <v>102</v>
      </c>
      <c r="H39" s="208"/>
      <c r="I39" s="122" t="s">
        <v>36</v>
      </c>
      <c r="J39" s="119" t="s">
        <v>37</v>
      </c>
      <c r="K39" s="64" t="s">
        <v>103</v>
      </c>
      <c r="L39" s="175" t="s">
        <v>39</v>
      </c>
      <c r="M39" s="176"/>
      <c r="N39" s="120" t="s">
        <v>40</v>
      </c>
      <c r="R39" s="7" t="s">
        <v>104</v>
      </c>
      <c r="S39" s="10"/>
      <c r="T39" s="5"/>
      <c r="U39" s="5"/>
      <c r="V39" s="9"/>
      <c r="W39" t="s">
        <v>105</v>
      </c>
      <c r="X39" s="1" t="str">
        <f t="shared" si="1"/>
        <v>Rents Payable</v>
      </c>
      <c r="Y39" s="15"/>
    </row>
    <row r="40" spans="1:46" s="5" customFormat="1" ht="15.75" customHeight="1" thickTop="1" thickBot="1">
      <c r="A40" s="36"/>
      <c r="B40" s="17"/>
      <c r="C40" s="42"/>
      <c r="D40" s="123"/>
      <c r="E40" s="209"/>
      <c r="F40" s="210"/>
      <c r="G40" s="211"/>
      <c r="H40" s="212"/>
      <c r="I40" s="18"/>
      <c r="J40" s="43"/>
      <c r="K40" s="65" t="b">
        <v>0</v>
      </c>
      <c r="L40" s="132" t="str">
        <f>IF(J40&lt;&gt;"",VLOOKUP("HOSPITALITY"&amp;K40,S$40:T$41,2,FALSE),"")</f>
        <v/>
      </c>
      <c r="M40" s="133"/>
      <c r="N40" s="45">
        <f ca="1">SUMIF(L$40:M43,L40,J$40:J43)</f>
        <v>0</v>
      </c>
      <c r="O40" s="36"/>
      <c r="P40" s="1"/>
      <c r="Q40" s="8">
        <v>169304</v>
      </c>
      <c r="R40" s="9" t="s">
        <v>106</v>
      </c>
      <c r="S40" s="9" t="s">
        <v>107</v>
      </c>
      <c r="T40" s="8">
        <v>169304</v>
      </c>
      <c r="V40" s="7"/>
      <c r="W40" t="s">
        <v>108</v>
      </c>
      <c r="X40" s="1" t="str">
        <f t="shared" si="1"/>
        <v>Safety Expenses</v>
      </c>
      <c r="Y40" s="15"/>
      <c r="Z40" s="1"/>
      <c r="AA40" s="1"/>
      <c r="AB40" s="1"/>
      <c r="AC40" s="1"/>
      <c r="AD40" s="1"/>
      <c r="AE40" s="1"/>
      <c r="AF40" s="1"/>
      <c r="AG40" s="1"/>
      <c r="AH40" s="1"/>
      <c r="AI40" s="1"/>
      <c r="AJ40" s="1"/>
      <c r="AK40" s="1"/>
      <c r="AL40" s="1"/>
      <c r="AM40" s="1"/>
      <c r="AN40" s="1"/>
      <c r="AO40" s="1"/>
      <c r="AP40" s="1"/>
      <c r="AQ40" s="1"/>
      <c r="AR40" s="1"/>
      <c r="AS40" s="1"/>
      <c r="AT40" s="1"/>
    </row>
    <row r="41" spans="1:46" s="5" customFormat="1" ht="15.75" customHeight="1" thickTop="1" thickBot="1">
      <c r="A41" s="36"/>
      <c r="B41" s="17"/>
      <c r="C41" s="42"/>
      <c r="D41" s="123"/>
      <c r="E41" s="209"/>
      <c r="F41" s="210"/>
      <c r="G41" s="211"/>
      <c r="H41" s="212"/>
      <c r="I41" s="18"/>
      <c r="J41" s="43"/>
      <c r="K41" s="65" t="b">
        <v>0</v>
      </c>
      <c r="L41" s="132" t="str">
        <f>IF(J41&lt;&gt;"",VLOOKUP("HOSPITALITY"&amp;K41,S$40:T$41,2,FALSE),"")</f>
        <v/>
      </c>
      <c r="M41" s="133"/>
      <c r="N41" s="45">
        <f t="array" ref="N41">IF(OR(L41=L$40:M40),0,SUMIF(L41:M$43,L41,J41:J$43))</f>
        <v>0</v>
      </c>
      <c r="O41" s="36"/>
      <c r="Q41" s="8">
        <v>169307</v>
      </c>
      <c r="R41" s="9" t="s">
        <v>109</v>
      </c>
      <c r="S41" s="9" t="s">
        <v>110</v>
      </c>
      <c r="T41" s="8">
        <v>169307</v>
      </c>
      <c r="V41" s="9"/>
      <c r="W41" t="s">
        <v>111</v>
      </c>
      <c r="X41" s="1" t="str">
        <f t="shared" si="1"/>
        <v>Software Purchases</v>
      </c>
      <c r="Y41" s="9"/>
    </row>
    <row r="42" spans="1:46" s="5" customFormat="1" ht="15.75" customHeight="1" thickTop="1" thickBot="1">
      <c r="A42" s="36"/>
      <c r="B42" s="17"/>
      <c r="C42" s="42"/>
      <c r="D42" s="123"/>
      <c r="E42" s="209"/>
      <c r="F42" s="210"/>
      <c r="G42" s="211"/>
      <c r="H42" s="212"/>
      <c r="I42" s="115"/>
      <c r="J42" s="43"/>
      <c r="K42" s="65" t="b">
        <v>0</v>
      </c>
      <c r="L42" s="132" t="str">
        <f>IF(J42&lt;&gt;"",VLOOKUP("HOSPITALITY"&amp;K42,S$40:T$41,2,FALSE),"")</f>
        <v/>
      </c>
      <c r="M42" s="133"/>
      <c r="N42" s="45">
        <f t="array" ref="N42">IF(OR(L42=L$40:M41),0,SUMIF(L42:M$43,L42,J42:J$43))</f>
        <v>0</v>
      </c>
      <c r="O42" s="36"/>
      <c r="S42" s="9"/>
      <c r="U42" s="1"/>
      <c r="V42" s="9"/>
      <c r="W42" t="s">
        <v>112</v>
      </c>
      <c r="X42" s="1" t="str">
        <f t="shared" si="1"/>
        <v>Training / Course Fees</v>
      </c>
      <c r="Y42" s="9"/>
    </row>
    <row r="43" spans="1:46" s="5" customFormat="1" ht="15.75" customHeight="1" thickTop="1" thickBot="1">
      <c r="A43" s="36"/>
      <c r="B43" s="17"/>
      <c r="C43" s="42"/>
      <c r="D43" s="123"/>
      <c r="E43" s="209"/>
      <c r="F43" s="210"/>
      <c r="G43" s="211"/>
      <c r="H43" s="212"/>
      <c r="I43" s="115"/>
      <c r="J43" s="43"/>
      <c r="K43" s="65" t="b">
        <v>0</v>
      </c>
      <c r="L43" s="132" t="str">
        <f>IF(J43&lt;&gt;"",VLOOKUP("HOSPITALITY"&amp;K43,S$40:T$41,2,FALSE),"")</f>
        <v/>
      </c>
      <c r="M43" s="133"/>
      <c r="N43" s="45">
        <f t="array" ref="N43">IF(OR(L43=L$40:M42),0,SUMIF(L43:M$43,L43,J43:J$43))</f>
        <v>0</v>
      </c>
      <c r="O43" s="36"/>
      <c r="Q43" s="1"/>
      <c r="R43" s="1"/>
      <c r="S43" s="1"/>
      <c r="T43" s="1"/>
      <c r="U43" s="1"/>
      <c r="V43" s="9"/>
      <c r="W43" s="50" t="s">
        <v>113</v>
      </c>
      <c r="X43" s="1" t="str">
        <f t="shared" si="1"/>
        <v>↓↓↓↓↓Other Types↓↓↓↓↓</v>
      </c>
      <c r="Y43" s="9"/>
    </row>
    <row r="44" spans="1:46" ht="15.75" customHeight="1" thickTop="1">
      <c r="B44" s="39"/>
      <c r="C44" s="217" t="s">
        <v>114</v>
      </c>
      <c r="D44" s="218"/>
      <c r="E44" s="218"/>
      <c r="F44" s="218"/>
      <c r="G44" s="218"/>
      <c r="H44" s="218"/>
      <c r="I44" s="218"/>
      <c r="J44" s="61">
        <f>SUM(J40:J43)</f>
        <v>0</v>
      </c>
      <c r="K44" s="66"/>
      <c r="L44" s="67"/>
      <c r="M44" s="67"/>
      <c r="N44" s="49">
        <f ca="1">SUM(N40:N43)</f>
        <v>0</v>
      </c>
      <c r="P44" s="5"/>
      <c r="R44" s="7" t="s">
        <v>115</v>
      </c>
      <c r="S44" s="5"/>
      <c r="T44" s="5"/>
      <c r="V44" s="9"/>
      <c r="W44" t="s">
        <v>116</v>
      </c>
      <c r="X44" s="1" t="str">
        <f t="shared" si="1"/>
        <v>Av Equipment</v>
      </c>
      <c r="Y44" s="9"/>
      <c r="Z44" s="5"/>
      <c r="AA44" s="5"/>
      <c r="AB44" s="5"/>
      <c r="AC44" s="5"/>
      <c r="AD44" s="5"/>
      <c r="AE44" s="5"/>
      <c r="AF44" s="5"/>
      <c r="AG44" s="5"/>
      <c r="AH44" s="5"/>
      <c r="AI44" s="5"/>
      <c r="AJ44" s="5"/>
      <c r="AK44" s="5"/>
      <c r="AL44" s="5"/>
      <c r="AM44" s="5"/>
      <c r="AN44" s="5"/>
      <c r="AO44" s="5"/>
      <c r="AP44" s="5"/>
      <c r="AQ44" s="5"/>
      <c r="AR44" s="5"/>
      <c r="AS44" s="5"/>
      <c r="AT44" s="5"/>
    </row>
    <row r="45" spans="1:46" ht="25.5" customHeight="1">
      <c r="B45" s="39"/>
      <c r="C45" s="51" t="s">
        <v>64</v>
      </c>
      <c r="D45" s="121" t="s">
        <v>65</v>
      </c>
      <c r="E45" s="202"/>
      <c r="F45" s="203"/>
      <c r="G45" s="204" t="s">
        <v>67</v>
      </c>
      <c r="H45" s="205"/>
      <c r="I45" s="205"/>
      <c r="J45" s="202"/>
      <c r="K45" s="203"/>
      <c r="L45" s="52"/>
      <c r="M45" s="52"/>
      <c r="N45" s="52"/>
      <c r="Q45" s="8">
        <v>166304</v>
      </c>
      <c r="R45" s="9" t="s">
        <v>117</v>
      </c>
      <c r="S45" t="s">
        <v>118</v>
      </c>
      <c r="T45" s="8">
        <v>166304</v>
      </c>
      <c r="U45" s="5"/>
      <c r="V45" s="9"/>
      <c r="W45" t="s">
        <v>119</v>
      </c>
      <c r="X45" s="1" t="str">
        <f t="shared" si="1"/>
        <v>Av Materials</v>
      </c>
      <c r="Y45" s="15"/>
    </row>
    <row r="46" spans="1:46" ht="18" customHeight="1">
      <c r="C46" s="54"/>
      <c r="D46" s="54"/>
      <c r="E46" s="54"/>
      <c r="F46" s="54"/>
      <c r="G46" s="54"/>
      <c r="H46" s="54"/>
      <c r="I46" s="54"/>
      <c r="J46" s="54"/>
      <c r="K46" s="54"/>
      <c r="L46" s="54"/>
      <c r="M46" s="54"/>
      <c r="N46" s="54"/>
      <c r="Q46" s="8">
        <v>166307</v>
      </c>
      <c r="R46" s="9" t="s">
        <v>120</v>
      </c>
      <c r="S46" t="s">
        <v>121</v>
      </c>
      <c r="T46" s="8">
        <v>166307</v>
      </c>
      <c r="U46" s="5"/>
      <c r="V46" s="7"/>
      <c r="W46" t="s">
        <v>122</v>
      </c>
      <c r="X46" s="1" t="str">
        <f t="shared" si="1"/>
        <v>Cleaning Materials</v>
      </c>
      <c r="Y46" s="15"/>
      <c r="AA46" s="5"/>
      <c r="AB46" s="5"/>
      <c r="AC46" s="5"/>
      <c r="AD46" s="5"/>
      <c r="AE46" s="5"/>
      <c r="AF46" s="5"/>
      <c r="AG46" s="5"/>
      <c r="AH46" s="5"/>
      <c r="AI46" s="5"/>
      <c r="AJ46" s="5"/>
      <c r="AK46" s="5"/>
      <c r="AL46" s="5"/>
      <c r="AM46" s="5"/>
      <c r="AN46" s="5"/>
      <c r="AO46" s="5"/>
      <c r="AP46" s="5"/>
      <c r="AQ46" s="5"/>
      <c r="AR46" s="5"/>
      <c r="AS46" s="5"/>
      <c r="AT46" s="5"/>
    </row>
    <row r="47" spans="1:46" ht="15.75" customHeight="1">
      <c r="B47" s="39"/>
      <c r="C47" s="219" t="s">
        <v>123</v>
      </c>
      <c r="D47" s="220"/>
      <c r="E47" s="220"/>
      <c r="F47" s="220"/>
      <c r="G47" s="220"/>
      <c r="H47" s="220"/>
      <c r="I47" s="220"/>
      <c r="J47" s="220"/>
      <c r="K47" s="220"/>
      <c r="L47" s="220"/>
      <c r="M47" s="220"/>
      <c r="N47" s="220"/>
      <c r="P47" s="5"/>
      <c r="Q47" s="5"/>
      <c r="R47" s="7" t="s">
        <v>124</v>
      </c>
      <c r="S47" s="5"/>
      <c r="T47" s="5"/>
      <c r="V47" s="8"/>
      <c r="W47" t="s">
        <v>125</v>
      </c>
      <c r="X47" s="1" t="str">
        <f t="shared" si="1"/>
        <v>Clothing &amp; Uniforms</v>
      </c>
      <c r="Y47" s="9"/>
      <c r="Z47" s="5"/>
    </row>
    <row r="48" spans="1:46" ht="33.75" customHeight="1" thickBot="1">
      <c r="B48" s="39"/>
      <c r="C48" s="63" t="s">
        <v>31</v>
      </c>
      <c r="D48" s="68" t="s">
        <v>126</v>
      </c>
      <c r="E48" s="221" t="s">
        <v>127</v>
      </c>
      <c r="F48" s="222"/>
      <c r="G48" s="222"/>
      <c r="H48" s="223"/>
      <c r="I48" s="122" t="s">
        <v>36</v>
      </c>
      <c r="J48" s="119" t="s">
        <v>37</v>
      </c>
      <c r="K48" s="41" t="s">
        <v>82</v>
      </c>
      <c r="L48" s="175" t="s">
        <v>39</v>
      </c>
      <c r="M48" s="176"/>
      <c r="N48" s="120" t="s">
        <v>40</v>
      </c>
      <c r="Q48" s="8">
        <v>169204</v>
      </c>
      <c r="R48" s="9" t="s">
        <v>112</v>
      </c>
      <c r="S48" t="s">
        <v>112</v>
      </c>
      <c r="T48" s="8">
        <v>169204</v>
      </c>
      <c r="U48" s="5"/>
      <c r="V48" s="13"/>
      <c r="W48" t="s">
        <v>128</v>
      </c>
      <c r="X48" s="1" t="str">
        <f t="shared" si="1"/>
        <v>Computing Equip.</v>
      </c>
      <c r="Y48" s="15"/>
    </row>
    <row r="49" spans="1:46" s="5" customFormat="1" ht="15.75" customHeight="1">
      <c r="A49" s="36"/>
      <c r="B49" s="17"/>
      <c r="C49" s="42">
        <v>44440</v>
      </c>
      <c r="D49" s="69" t="s">
        <v>129</v>
      </c>
      <c r="E49" s="129" t="s">
        <v>130</v>
      </c>
      <c r="F49" s="130"/>
      <c r="G49" s="130"/>
      <c r="H49" s="131"/>
      <c r="I49" s="127"/>
      <c r="J49" s="43">
        <v>25</v>
      </c>
      <c r="K49" s="44" t="b">
        <v>0</v>
      </c>
      <c r="L49" s="132">
        <f t="shared" ref="L49:L58" si="4">IF(AND(J49&lt;&gt;"",D49&lt;&gt;""),VLOOKUP(IF(OR(D49=W$32,D49=W$29),D49&amp;K49,D49),S$45:T$114,2,FALSE),"")</f>
        <v>166304</v>
      </c>
      <c r="M49" s="133"/>
      <c r="N49" s="45">
        <f ca="1">SUMIF(L$49:M58,L49,J$49:J58)</f>
        <v>250</v>
      </c>
      <c r="O49" s="36"/>
      <c r="P49" s="1"/>
      <c r="Q49" s="8">
        <v>169210</v>
      </c>
      <c r="R49" s="9" t="s">
        <v>131</v>
      </c>
      <c r="S49" s="55" t="s">
        <v>132</v>
      </c>
      <c r="T49" s="8">
        <v>169210</v>
      </c>
      <c r="V49" s="13"/>
      <c r="W49" t="s">
        <v>133</v>
      </c>
      <c r="X49" s="1" t="str">
        <f t="shared" si="1"/>
        <v>Couriers / Freight</v>
      </c>
      <c r="Y49" s="15"/>
      <c r="Z49" s="1"/>
      <c r="AA49" s="1"/>
      <c r="AB49" s="1"/>
      <c r="AC49" s="1"/>
      <c r="AD49" s="1"/>
      <c r="AE49" s="1"/>
      <c r="AF49" s="1"/>
      <c r="AG49" s="1"/>
      <c r="AH49" s="1"/>
      <c r="AI49" s="1"/>
      <c r="AJ49" s="1"/>
      <c r="AK49" s="1"/>
      <c r="AL49" s="1"/>
      <c r="AM49" s="1"/>
      <c r="AN49" s="1"/>
      <c r="AO49" s="1"/>
      <c r="AP49" s="1"/>
      <c r="AQ49" s="1"/>
      <c r="AR49" s="1"/>
      <c r="AS49" s="1"/>
      <c r="AT49" s="1"/>
    </row>
    <row r="50" spans="1:46" s="5" customFormat="1" ht="15.75" customHeight="1">
      <c r="A50" s="36"/>
      <c r="B50" s="17"/>
      <c r="C50" s="42">
        <v>44441</v>
      </c>
      <c r="D50" s="69" t="s">
        <v>129</v>
      </c>
      <c r="E50" s="129" t="s">
        <v>130</v>
      </c>
      <c r="F50" s="130"/>
      <c r="G50" s="130"/>
      <c r="H50" s="131"/>
      <c r="I50" s="127"/>
      <c r="J50" s="43">
        <v>25</v>
      </c>
      <c r="K50" s="44" t="b">
        <v>0</v>
      </c>
      <c r="L50" s="132">
        <f t="shared" si="4"/>
        <v>166304</v>
      </c>
      <c r="M50" s="133"/>
      <c r="N50" s="45">
        <f t="array" ref="N50">IF(OR(L50=L43:M$49),0,SUMIF(L50:M$58,L50,J50:J$58))</f>
        <v>0</v>
      </c>
      <c r="O50" s="36"/>
      <c r="P50" s="1"/>
      <c r="Q50" s="8">
        <v>169213</v>
      </c>
      <c r="R50" s="9" t="s">
        <v>134</v>
      </c>
      <c r="S50" s="55" t="s">
        <v>135</v>
      </c>
      <c r="T50" s="8">
        <v>169213</v>
      </c>
      <c r="V50" s="8"/>
      <c r="W50" t="s">
        <v>136</v>
      </c>
      <c r="X50" s="1" t="str">
        <f t="shared" ref="X50:X52" si="5">PROPER(W50)</f>
        <v>Course Material</v>
      </c>
      <c r="Y50" s="15"/>
      <c r="Z50" s="1"/>
    </row>
    <row r="51" spans="1:46" s="5" customFormat="1" ht="15.75" customHeight="1">
      <c r="A51" s="36"/>
      <c r="B51" s="17"/>
      <c r="C51" s="42">
        <v>44442</v>
      </c>
      <c r="D51" s="69" t="s">
        <v>129</v>
      </c>
      <c r="E51" s="129" t="s">
        <v>130</v>
      </c>
      <c r="F51" s="130"/>
      <c r="G51" s="130"/>
      <c r="H51" s="131"/>
      <c r="I51" s="127"/>
      <c r="J51" s="43">
        <v>25</v>
      </c>
      <c r="K51" s="44" t="b">
        <v>0</v>
      </c>
      <c r="L51" s="132">
        <f t="shared" si="4"/>
        <v>166304</v>
      </c>
      <c r="M51" s="133"/>
      <c r="N51" s="45">
        <f t="array" ref="N51">IF(OR(L51=L$49:M50),0,SUMIF(L51:M$58,L51,J51:J$58))</f>
        <v>0</v>
      </c>
      <c r="O51" s="36"/>
      <c r="Q51" s="8">
        <v>162125</v>
      </c>
      <c r="R51" s="9" t="s">
        <v>137</v>
      </c>
      <c r="S51" t="s">
        <v>91</v>
      </c>
      <c r="T51" s="8">
        <v>162125</v>
      </c>
      <c r="U51" s="1"/>
      <c r="V51" s="8"/>
      <c r="W51" t="s">
        <v>138</v>
      </c>
      <c r="X51" s="1" t="str">
        <f t="shared" si="5"/>
        <v>Furniture Purchase</v>
      </c>
      <c r="Y51" s="9"/>
    </row>
    <row r="52" spans="1:46" s="5" customFormat="1" ht="15.75" customHeight="1">
      <c r="A52" s="36"/>
      <c r="B52" s="17"/>
      <c r="C52" s="42">
        <v>44443</v>
      </c>
      <c r="D52" s="69" t="s">
        <v>129</v>
      </c>
      <c r="E52" s="129" t="s">
        <v>130</v>
      </c>
      <c r="F52" s="130"/>
      <c r="G52" s="130"/>
      <c r="H52" s="131"/>
      <c r="I52" s="127"/>
      <c r="J52" s="43">
        <v>25</v>
      </c>
      <c r="K52" s="44" t="b">
        <v>0</v>
      </c>
      <c r="L52" s="132">
        <f t="shared" si="4"/>
        <v>166304</v>
      </c>
      <c r="M52" s="133"/>
      <c r="N52" s="45">
        <f t="array" ref="N52">IF(OR(L52=L$49:M51),0,SUMIF(L52:M$58,L52,J52:J$58))</f>
        <v>0</v>
      </c>
      <c r="O52" s="36"/>
      <c r="Q52" s="8">
        <v>162134</v>
      </c>
      <c r="R52" s="9" t="s">
        <v>139</v>
      </c>
      <c r="S52" s="9" t="s">
        <v>139</v>
      </c>
      <c r="T52" s="8">
        <v>162134</v>
      </c>
      <c r="U52" s="1"/>
      <c r="V52" s="8"/>
      <c r="W52" t="s">
        <v>140</v>
      </c>
      <c r="X52" s="1" t="str">
        <f t="shared" si="5"/>
        <v>Glassware</v>
      </c>
      <c r="Y52" s="9"/>
    </row>
    <row r="53" spans="1:46" s="5" customFormat="1" ht="15.75" customHeight="1">
      <c r="A53" s="36"/>
      <c r="B53" s="17"/>
      <c r="C53" s="42">
        <v>44444</v>
      </c>
      <c r="D53" s="69" t="s">
        <v>129</v>
      </c>
      <c r="E53" s="129" t="s">
        <v>130</v>
      </c>
      <c r="F53" s="130"/>
      <c r="G53" s="130"/>
      <c r="H53" s="131"/>
      <c r="I53" s="127"/>
      <c r="J53" s="43">
        <v>25</v>
      </c>
      <c r="K53" s="44" t="b">
        <v>0</v>
      </c>
      <c r="L53" s="132">
        <f t="shared" si="4"/>
        <v>166304</v>
      </c>
      <c r="M53" s="133"/>
      <c r="N53" s="45">
        <f t="array" ref="N53">IF(OR(L53=L46:M$49),0,SUMIF(L53:M$58,L53,J53:J$58))</f>
        <v>0</v>
      </c>
      <c r="O53" s="36"/>
      <c r="P53" s="1"/>
      <c r="Q53" s="8">
        <v>169213</v>
      </c>
      <c r="R53" s="9" t="s">
        <v>134</v>
      </c>
      <c r="S53" s="55" t="s">
        <v>135</v>
      </c>
      <c r="T53" s="8">
        <v>169213</v>
      </c>
      <c r="V53" s="8"/>
      <c r="W53" t="s">
        <v>136</v>
      </c>
      <c r="X53" s="1" t="str">
        <f t="shared" ref="X53:X55" si="6">PROPER(W53)</f>
        <v>Course Material</v>
      </c>
      <c r="Y53" s="15"/>
      <c r="Z53" s="1"/>
    </row>
    <row r="54" spans="1:46" s="5" customFormat="1" ht="15.75" customHeight="1">
      <c r="A54" s="36"/>
      <c r="B54" s="17"/>
      <c r="C54" s="42">
        <v>44445</v>
      </c>
      <c r="D54" s="69" t="s">
        <v>129</v>
      </c>
      <c r="E54" s="129" t="s">
        <v>130</v>
      </c>
      <c r="F54" s="130"/>
      <c r="G54" s="130"/>
      <c r="H54" s="131"/>
      <c r="I54" s="127"/>
      <c r="J54" s="43">
        <v>25</v>
      </c>
      <c r="K54" s="44" t="b">
        <v>0</v>
      </c>
      <c r="L54" s="132">
        <f t="shared" si="4"/>
        <v>166304</v>
      </c>
      <c r="M54" s="133"/>
      <c r="N54" s="45">
        <f t="array" ref="N54">IF(OR(L54=L$49:M53),0,SUMIF(L54:M$58,L54,J54:J$58))</f>
        <v>0</v>
      </c>
      <c r="O54" s="36"/>
      <c r="Q54" s="8">
        <v>162125</v>
      </c>
      <c r="R54" s="9" t="s">
        <v>137</v>
      </c>
      <c r="S54" t="s">
        <v>91</v>
      </c>
      <c r="T54" s="8">
        <v>162125</v>
      </c>
      <c r="U54" s="1"/>
      <c r="V54" s="8"/>
      <c r="W54" t="s">
        <v>138</v>
      </c>
      <c r="X54" s="1" t="str">
        <f t="shared" si="6"/>
        <v>Furniture Purchase</v>
      </c>
      <c r="Y54" s="9"/>
    </row>
    <row r="55" spans="1:46" s="5" customFormat="1" ht="15.75" customHeight="1">
      <c r="A55" s="36"/>
      <c r="B55" s="17"/>
      <c r="C55" s="42">
        <v>44446</v>
      </c>
      <c r="D55" s="69" t="s">
        <v>129</v>
      </c>
      <c r="E55" s="129" t="s">
        <v>130</v>
      </c>
      <c r="F55" s="130"/>
      <c r="G55" s="130"/>
      <c r="H55" s="131"/>
      <c r="I55" s="127"/>
      <c r="J55" s="43">
        <v>25</v>
      </c>
      <c r="K55" s="44" t="b">
        <v>0</v>
      </c>
      <c r="L55" s="132">
        <f t="shared" si="4"/>
        <v>166304</v>
      </c>
      <c r="M55" s="133"/>
      <c r="N55" s="45">
        <f t="array" ref="N55">IF(OR(L55=L$49:M54),0,SUMIF(L55:M$58,L55,J55:J$58))</f>
        <v>0</v>
      </c>
      <c r="O55" s="36"/>
      <c r="Q55" s="8">
        <v>162134</v>
      </c>
      <c r="R55" s="9" t="s">
        <v>139</v>
      </c>
      <c r="S55" s="9" t="s">
        <v>139</v>
      </c>
      <c r="T55" s="8">
        <v>162134</v>
      </c>
      <c r="U55" s="1"/>
      <c r="V55" s="8"/>
      <c r="W55" t="s">
        <v>140</v>
      </c>
      <c r="X55" s="1" t="str">
        <f t="shared" si="6"/>
        <v>Glassware</v>
      </c>
      <c r="Y55" s="9"/>
    </row>
    <row r="56" spans="1:46" s="5" customFormat="1" ht="15.75" customHeight="1">
      <c r="A56" s="36"/>
      <c r="B56" s="17"/>
      <c r="C56" s="42">
        <v>44447</v>
      </c>
      <c r="D56" s="69" t="s">
        <v>129</v>
      </c>
      <c r="E56" s="129" t="s">
        <v>130</v>
      </c>
      <c r="F56" s="130"/>
      <c r="G56" s="130"/>
      <c r="H56" s="131"/>
      <c r="I56" s="127"/>
      <c r="J56" s="43">
        <v>25</v>
      </c>
      <c r="K56" s="44" t="b">
        <v>0</v>
      </c>
      <c r="L56" s="132">
        <f t="shared" si="4"/>
        <v>166304</v>
      </c>
      <c r="M56" s="133"/>
      <c r="N56" s="45">
        <f t="array" ref="N56">IF(OR(L56=L$49:M49),0,SUMIF(L56:M$58,L56,J56:J$58))</f>
        <v>0</v>
      </c>
      <c r="O56" s="36"/>
      <c r="P56" s="1"/>
      <c r="Q56" s="8">
        <v>169213</v>
      </c>
      <c r="R56" s="9" t="s">
        <v>134</v>
      </c>
      <c r="S56" s="55" t="s">
        <v>135</v>
      </c>
      <c r="T56" s="8">
        <v>169213</v>
      </c>
      <c r="V56" s="8"/>
      <c r="W56" t="s">
        <v>136</v>
      </c>
      <c r="X56" s="1" t="str">
        <f t="shared" si="1"/>
        <v>Course Material</v>
      </c>
      <c r="Y56" s="15"/>
      <c r="Z56" s="1"/>
    </row>
    <row r="57" spans="1:46" s="5" customFormat="1" ht="15.75" customHeight="1">
      <c r="A57" s="36"/>
      <c r="B57" s="17"/>
      <c r="C57" s="42">
        <v>44448</v>
      </c>
      <c r="D57" s="69" t="s">
        <v>129</v>
      </c>
      <c r="E57" s="129" t="s">
        <v>130</v>
      </c>
      <c r="F57" s="130"/>
      <c r="G57" s="130"/>
      <c r="H57" s="131"/>
      <c r="I57" s="127"/>
      <c r="J57" s="43">
        <v>25</v>
      </c>
      <c r="K57" s="44" t="b">
        <v>0</v>
      </c>
      <c r="L57" s="132">
        <f t="shared" si="4"/>
        <v>166304</v>
      </c>
      <c r="M57" s="133"/>
      <c r="N57" s="45">
        <f t="array" ref="N57">IF(OR(L57=L$49:M56),0,SUMIF(L57:M$58,L57,J57:J$58))</f>
        <v>0</v>
      </c>
      <c r="O57" s="36"/>
      <c r="Q57" s="8">
        <v>162125</v>
      </c>
      <c r="R57" s="9" t="s">
        <v>137</v>
      </c>
      <c r="S57" t="s">
        <v>91</v>
      </c>
      <c r="T57" s="8">
        <v>162125</v>
      </c>
      <c r="U57" s="1"/>
      <c r="V57" s="8"/>
      <c r="W57" t="s">
        <v>138</v>
      </c>
      <c r="X57" s="1" t="str">
        <f t="shared" si="1"/>
        <v>Furniture Purchase</v>
      </c>
      <c r="Y57" s="9"/>
    </row>
    <row r="58" spans="1:46" s="5" customFormat="1" ht="15.75" customHeight="1">
      <c r="A58" s="36"/>
      <c r="B58" s="17"/>
      <c r="C58" s="42">
        <v>44449</v>
      </c>
      <c r="D58" s="69" t="s">
        <v>129</v>
      </c>
      <c r="E58" s="129" t="s">
        <v>130</v>
      </c>
      <c r="F58" s="130"/>
      <c r="G58" s="130"/>
      <c r="H58" s="131"/>
      <c r="I58" s="127"/>
      <c r="J58" s="43">
        <v>25</v>
      </c>
      <c r="K58" s="44" t="b">
        <v>0</v>
      </c>
      <c r="L58" s="132">
        <f t="shared" si="4"/>
        <v>166304</v>
      </c>
      <c r="M58" s="133"/>
      <c r="N58" s="45">
        <f t="array" ref="N58">IF(OR(L58=L$49:M57),0,SUMIF(L58:M$58,L58,J58:J$58))</f>
        <v>0</v>
      </c>
      <c r="O58" s="36"/>
      <c r="Q58" s="8">
        <v>162134</v>
      </c>
      <c r="R58" s="9" t="s">
        <v>139</v>
      </c>
      <c r="S58" s="9" t="s">
        <v>139</v>
      </c>
      <c r="T58" s="8">
        <v>162134</v>
      </c>
      <c r="U58" s="1"/>
      <c r="V58" s="8"/>
      <c r="W58" t="s">
        <v>140</v>
      </c>
      <c r="X58" s="1" t="str">
        <f t="shared" si="1"/>
        <v>Glassware</v>
      </c>
      <c r="Y58" s="9"/>
    </row>
    <row r="59" spans="1:46" ht="15.75" customHeight="1">
      <c r="B59" s="70"/>
      <c r="C59" s="219" t="s">
        <v>141</v>
      </c>
      <c r="D59" s="220"/>
      <c r="E59" s="220"/>
      <c r="F59" s="220"/>
      <c r="G59" s="220"/>
      <c r="H59" s="220"/>
      <c r="I59" s="220"/>
      <c r="J59" s="116">
        <f>SUM(J49:J58)</f>
        <v>250</v>
      </c>
      <c r="K59" s="66"/>
      <c r="L59" s="67"/>
      <c r="M59" s="67"/>
      <c r="N59" s="71">
        <f ca="1">SUM(N49:N58)</f>
        <v>250</v>
      </c>
      <c r="P59" s="5"/>
      <c r="Q59" s="8">
        <v>165207</v>
      </c>
      <c r="R59" s="9" t="s">
        <v>142</v>
      </c>
      <c r="S59" t="s">
        <v>143</v>
      </c>
      <c r="T59" s="8">
        <v>165207</v>
      </c>
      <c r="V59" s="8"/>
      <c r="W59" s="9" t="s">
        <v>139</v>
      </c>
      <c r="X59" s="1" t="str">
        <f t="shared" si="1"/>
        <v>Health Screening</v>
      </c>
      <c r="Y59" s="9"/>
      <c r="Z59" s="9"/>
      <c r="AA59" s="9"/>
      <c r="AB59" s="5"/>
      <c r="AC59" s="5"/>
      <c r="AD59" s="5"/>
      <c r="AE59" s="5"/>
      <c r="AF59" s="5"/>
      <c r="AG59" s="5"/>
      <c r="AH59" s="5"/>
      <c r="AI59" s="5"/>
      <c r="AJ59" s="5"/>
      <c r="AK59" s="5"/>
      <c r="AL59" s="5"/>
      <c r="AM59" s="5"/>
      <c r="AN59" s="5"/>
      <c r="AO59" s="5"/>
      <c r="AP59" s="5"/>
      <c r="AQ59" s="5"/>
      <c r="AR59" s="5"/>
      <c r="AS59" s="5"/>
      <c r="AT59" s="5"/>
    </row>
    <row r="60" spans="1:46" ht="25.5" customHeight="1">
      <c r="B60" s="39"/>
      <c r="C60" s="51" t="s">
        <v>64</v>
      </c>
      <c r="D60" s="121" t="s">
        <v>65</v>
      </c>
      <c r="E60" s="202" t="s">
        <v>66</v>
      </c>
      <c r="F60" s="203"/>
      <c r="G60" s="204" t="s">
        <v>67</v>
      </c>
      <c r="H60" s="205"/>
      <c r="I60" s="205"/>
      <c r="J60" s="202" t="s">
        <v>68</v>
      </c>
      <c r="K60" s="203"/>
      <c r="L60" s="52"/>
      <c r="M60" s="52"/>
      <c r="N60" s="52"/>
      <c r="Q60" s="8">
        <v>165222</v>
      </c>
      <c r="R60" s="9" t="s">
        <v>87</v>
      </c>
      <c r="S60" t="s">
        <v>87</v>
      </c>
      <c r="T60" s="8">
        <v>165222</v>
      </c>
      <c r="V60" s="8"/>
      <c r="W60" t="s">
        <v>144</v>
      </c>
      <c r="X60" s="1" t="str">
        <f t="shared" si="1"/>
        <v>Laundry</v>
      </c>
      <c r="Y60" s="15"/>
    </row>
    <row r="61" spans="1:46" ht="12" customHeight="1">
      <c r="B61" s="72"/>
      <c r="C61" s="73"/>
      <c r="D61" s="241"/>
      <c r="E61" s="242"/>
      <c r="F61" s="242"/>
      <c r="G61" s="242"/>
      <c r="H61" s="242"/>
      <c r="I61" s="242"/>
      <c r="J61" s="74"/>
      <c r="K61" s="75"/>
      <c r="L61" s="75"/>
      <c r="M61" s="75"/>
      <c r="N61" s="54"/>
      <c r="R61" s="7" t="s">
        <v>145</v>
      </c>
      <c r="V61" s="8"/>
      <c r="W61" t="s">
        <v>146</v>
      </c>
      <c r="X61" s="1" t="str">
        <f t="shared" si="1"/>
        <v>Library Music</v>
      </c>
      <c r="Y61" s="15"/>
      <c r="Z61" s="15"/>
      <c r="AA61" s="15"/>
      <c r="AE61" s="5"/>
      <c r="AF61" s="5"/>
      <c r="AG61" s="5"/>
      <c r="AH61" s="5"/>
      <c r="AI61" s="5"/>
      <c r="AJ61" s="5"/>
      <c r="AK61" s="5"/>
      <c r="AL61" s="5"/>
      <c r="AM61" s="5"/>
      <c r="AN61" s="5"/>
      <c r="AO61" s="5"/>
      <c r="AP61" s="5"/>
      <c r="AQ61" s="5"/>
      <c r="AR61" s="5"/>
      <c r="AS61" s="5"/>
      <c r="AT61" s="5"/>
    </row>
    <row r="62" spans="1:46" ht="17.25" customHeight="1">
      <c r="B62" s="243" t="s">
        <v>147</v>
      </c>
      <c r="C62" s="244"/>
      <c r="D62" s="244"/>
      <c r="E62" s="244"/>
      <c r="F62" s="244"/>
      <c r="G62" s="244"/>
      <c r="H62" s="244"/>
      <c r="I62" s="245"/>
      <c r="J62" s="76">
        <f>+J59+J44+J35+J27</f>
        <v>678.51999999999987</v>
      </c>
      <c r="K62" s="21"/>
      <c r="L62" s="21"/>
      <c r="M62" s="21"/>
      <c r="N62" s="77">
        <f ca="1">+N59+N44+N35+N27</f>
        <v>678.52</v>
      </c>
      <c r="P62" s="5"/>
      <c r="Q62" s="8">
        <v>164104</v>
      </c>
      <c r="R62" s="9" t="s">
        <v>148</v>
      </c>
      <c r="S62" t="s">
        <v>88</v>
      </c>
      <c r="T62" s="8">
        <v>164104</v>
      </c>
      <c r="V62" s="8"/>
      <c r="W62" t="s">
        <v>149</v>
      </c>
      <c r="X62" s="1" t="str">
        <f t="shared" si="1"/>
        <v>Library Periodicals</v>
      </c>
      <c r="Y62" s="15"/>
      <c r="Z62" s="15"/>
      <c r="AA62" s="9"/>
      <c r="AB62" s="5"/>
      <c r="AC62" s="5"/>
    </row>
    <row r="63" spans="1:46" ht="17.25" customHeight="1" thickBot="1">
      <c r="B63" s="246" t="s">
        <v>150</v>
      </c>
      <c r="C63" s="247"/>
      <c r="D63" s="247"/>
      <c r="E63" s="78"/>
      <c r="F63" s="78"/>
      <c r="G63" s="78"/>
      <c r="H63" s="78"/>
      <c r="I63" s="79"/>
      <c r="J63" s="80"/>
      <c r="K63" s="21"/>
      <c r="L63" s="21"/>
      <c r="M63" s="21"/>
      <c r="N63" s="81">
        <f>J63</f>
        <v>0</v>
      </c>
      <c r="Q63" s="8">
        <v>164110</v>
      </c>
      <c r="R63" s="9" t="s">
        <v>151</v>
      </c>
      <c r="S63" t="s">
        <v>140</v>
      </c>
      <c r="T63" s="8">
        <v>164110</v>
      </c>
      <c r="V63" s="8"/>
      <c r="W63" t="s">
        <v>152</v>
      </c>
      <c r="X63" s="1" t="str">
        <f t="shared" si="1"/>
        <v>Patents/Royalties</v>
      </c>
      <c r="Y63" s="9"/>
      <c r="Z63" s="9"/>
      <c r="AD63" s="5"/>
    </row>
    <row r="64" spans="1:46" ht="17.25" customHeight="1" thickTop="1">
      <c r="B64" s="248" t="s">
        <v>153</v>
      </c>
      <c r="C64" s="249"/>
      <c r="D64" s="249"/>
      <c r="E64" s="249"/>
      <c r="F64" s="249"/>
      <c r="G64" s="249"/>
      <c r="H64" s="249"/>
      <c r="I64" s="250"/>
      <c r="J64" s="82">
        <f>+J62-J63</f>
        <v>678.51999999999987</v>
      </c>
      <c r="K64" s="21"/>
      <c r="L64" s="21"/>
      <c r="M64" s="21"/>
      <c r="N64" s="83">
        <f ca="1">+N62-N63</f>
        <v>678.52</v>
      </c>
      <c r="Q64" s="8">
        <v>164119</v>
      </c>
      <c r="R64" s="9" t="s">
        <v>154</v>
      </c>
      <c r="S64" t="s">
        <v>155</v>
      </c>
      <c r="T64" s="8">
        <v>164119</v>
      </c>
      <c r="V64" s="8"/>
      <c r="W64" t="s">
        <v>156</v>
      </c>
      <c r="X64" s="1" t="str">
        <f t="shared" si="1"/>
        <v>Photocopying</v>
      </c>
    </row>
    <row r="65" spans="2:24" ht="13.5" customHeight="1">
      <c r="B65" s="251"/>
      <c r="C65" s="251"/>
      <c r="D65" s="84"/>
      <c r="E65" s="84"/>
      <c r="F65" s="84"/>
      <c r="G65" s="85"/>
      <c r="H65" s="85"/>
      <c r="I65" s="85"/>
      <c r="J65" s="85"/>
      <c r="K65" s="85"/>
      <c r="L65" s="85"/>
      <c r="M65" s="85"/>
      <c r="N65" s="85"/>
      <c r="Q65" s="8">
        <v>164125</v>
      </c>
      <c r="R65" s="9" t="s">
        <v>157</v>
      </c>
      <c r="S65" t="s">
        <v>157</v>
      </c>
      <c r="T65" s="8">
        <v>164125</v>
      </c>
      <c r="V65" s="8"/>
      <c r="W65" t="s">
        <v>158</v>
      </c>
      <c r="X65" s="1" t="str">
        <f t="shared" si="1"/>
        <v>Photography</v>
      </c>
    </row>
    <row r="66" spans="2:24" ht="15.75">
      <c r="B66" s="86" t="s">
        <v>159</v>
      </c>
      <c r="C66" s="87"/>
      <c r="D66" s="87"/>
      <c r="E66" s="87"/>
      <c r="F66" s="88" t="s">
        <v>160</v>
      </c>
      <c r="G66" s="86"/>
      <c r="H66" s="85"/>
      <c r="I66" s="89" t="s">
        <v>161</v>
      </c>
      <c r="J66" s="90"/>
      <c r="K66" s="90"/>
      <c r="L66" s="90"/>
      <c r="M66" s="90"/>
      <c r="N66" s="91" t="s">
        <v>162</v>
      </c>
      <c r="O66" s="86"/>
      <c r="Q66" s="8">
        <v>164128</v>
      </c>
      <c r="R66" s="9" t="s">
        <v>163</v>
      </c>
      <c r="S66" t="s">
        <v>163</v>
      </c>
      <c r="T66" s="8">
        <v>164128</v>
      </c>
      <c r="V66" s="8"/>
      <c r="W66" t="s">
        <v>164</v>
      </c>
      <c r="X66" s="1" t="str">
        <f t="shared" si="1"/>
        <v>Postages</v>
      </c>
    </row>
    <row r="67" spans="2:24" ht="24" customHeight="1">
      <c r="B67" s="252" t="s">
        <v>165</v>
      </c>
      <c r="C67" s="253"/>
      <c r="D67" s="253"/>
      <c r="E67" s="253"/>
      <c r="F67" s="254"/>
      <c r="G67" s="85"/>
      <c r="H67" s="85"/>
      <c r="I67" s="238" t="s">
        <v>166</v>
      </c>
      <c r="J67" s="255"/>
      <c r="K67" s="255"/>
      <c r="L67" s="255"/>
      <c r="M67" s="255"/>
      <c r="N67" s="256"/>
      <c r="Q67" s="8"/>
      <c r="R67" s="9"/>
      <c r="T67" s="8"/>
      <c r="V67" s="8"/>
      <c r="W67" t="s">
        <v>167</v>
      </c>
      <c r="X67" s="1" t="str">
        <f t="shared" si="1"/>
        <v>Printing</v>
      </c>
    </row>
    <row r="68" spans="2:24" ht="12.75" customHeight="1">
      <c r="B68" s="230" t="s">
        <v>168</v>
      </c>
      <c r="C68" s="231"/>
      <c r="D68" s="231"/>
      <c r="E68" s="231"/>
      <c r="F68" s="232"/>
      <c r="G68" s="85"/>
      <c r="H68" s="85"/>
      <c r="I68" s="233" t="s">
        <v>169</v>
      </c>
      <c r="J68" s="234"/>
      <c r="K68" s="234"/>
      <c r="L68" s="234"/>
      <c r="M68" s="234"/>
      <c r="N68" s="235"/>
      <c r="R68" s="7" t="s">
        <v>170</v>
      </c>
      <c r="V68" s="8"/>
      <c r="W68" t="s">
        <v>171</v>
      </c>
      <c r="X68" s="1" t="str">
        <f t="shared" si="1"/>
        <v>Publication Production</v>
      </c>
    </row>
    <row r="69" spans="2:24" ht="12.75" customHeight="1">
      <c r="B69" s="230" t="s">
        <v>172</v>
      </c>
      <c r="C69" s="231"/>
      <c r="D69" s="231"/>
      <c r="E69" s="231"/>
      <c r="F69" s="232"/>
      <c r="G69" s="86"/>
      <c r="H69" s="85"/>
      <c r="I69" s="233" t="s">
        <v>173</v>
      </c>
      <c r="J69" s="236"/>
      <c r="K69" s="236"/>
      <c r="L69" s="236"/>
      <c r="M69" s="236"/>
      <c r="N69" s="237"/>
      <c r="Q69" s="8">
        <v>165107</v>
      </c>
      <c r="R69" s="9" t="s">
        <v>174</v>
      </c>
      <c r="S69" t="s">
        <v>78</v>
      </c>
      <c r="T69" s="8">
        <v>165107</v>
      </c>
      <c r="V69" s="8"/>
      <c r="W69" t="s">
        <v>175</v>
      </c>
      <c r="X69" s="1" t="str">
        <f t="shared" si="1"/>
        <v>Safety Training</v>
      </c>
    </row>
    <row r="70" spans="2:24" ht="12.75" customHeight="1">
      <c r="B70" s="230" t="s">
        <v>176</v>
      </c>
      <c r="C70" s="231"/>
      <c r="D70" s="231"/>
      <c r="E70" s="231"/>
      <c r="F70" s="232"/>
      <c r="G70" s="85"/>
      <c r="H70" s="85"/>
      <c r="I70" s="92" t="s">
        <v>177</v>
      </c>
      <c r="J70" s="93"/>
      <c r="K70" s="93"/>
      <c r="L70" s="93"/>
      <c r="M70" s="93"/>
      <c r="N70" s="94"/>
      <c r="Q70" s="8">
        <v>165119</v>
      </c>
      <c r="R70" s="10" t="s">
        <v>178</v>
      </c>
      <c r="S70" t="s">
        <v>116</v>
      </c>
      <c r="T70" s="8">
        <v>165119</v>
      </c>
      <c r="V70" s="8"/>
      <c r="W70" t="s">
        <v>179</v>
      </c>
      <c r="X70" s="1" t="str">
        <f t="shared" si="1"/>
        <v xml:space="preserve">Security Contracts </v>
      </c>
    </row>
    <row r="71" spans="2:24" ht="22.5" customHeight="1">
      <c r="B71" s="230" t="s">
        <v>180</v>
      </c>
      <c r="C71" s="231"/>
      <c r="D71" s="231"/>
      <c r="E71" s="231"/>
      <c r="F71" s="232"/>
      <c r="G71" s="85"/>
      <c r="H71" s="85"/>
      <c r="I71" s="238" t="s">
        <v>181</v>
      </c>
      <c r="J71" s="239"/>
      <c r="K71" s="239"/>
      <c r="L71" s="239"/>
      <c r="M71" s="239"/>
      <c r="N71" s="240"/>
      <c r="Q71" s="8">
        <v>165125</v>
      </c>
      <c r="R71" s="10" t="s">
        <v>182</v>
      </c>
      <c r="S71" t="s">
        <v>128</v>
      </c>
      <c r="T71" s="8">
        <v>165125</v>
      </c>
      <c r="V71" s="8"/>
      <c r="W71" t="s">
        <v>183</v>
      </c>
      <c r="X71" s="1" t="str">
        <f t="shared" si="1"/>
        <v>Security Expenses</v>
      </c>
    </row>
    <row r="72" spans="2:24" ht="23.25" customHeight="1">
      <c r="B72" s="95" t="s">
        <v>184</v>
      </c>
      <c r="C72" s="84"/>
      <c r="D72" s="84"/>
      <c r="E72" s="96" t="s">
        <v>185</v>
      </c>
      <c r="F72" s="97"/>
      <c r="G72" s="85"/>
      <c r="H72" s="85"/>
      <c r="I72" s="238" t="s">
        <v>186</v>
      </c>
      <c r="J72" s="239"/>
      <c r="K72" s="239"/>
      <c r="L72" s="239"/>
      <c r="M72" s="239"/>
      <c r="N72" s="240"/>
      <c r="R72" s="7" t="s">
        <v>187</v>
      </c>
      <c r="V72" s="8"/>
      <c r="W72" t="s">
        <v>143</v>
      </c>
      <c r="X72" s="1" t="str">
        <f t="shared" si="1"/>
        <v>Software Licences</v>
      </c>
    </row>
    <row r="73" spans="2:24" ht="24.75" customHeight="1">
      <c r="B73" s="98" t="s">
        <v>188</v>
      </c>
      <c r="C73" s="99"/>
      <c r="D73" s="224"/>
      <c r="E73" s="224"/>
      <c r="F73" s="225"/>
      <c r="G73" s="85"/>
      <c r="H73" s="85"/>
      <c r="I73" s="95" t="s">
        <v>189</v>
      </c>
      <c r="J73" s="84" t="s">
        <v>5</v>
      </c>
      <c r="K73" s="84"/>
      <c r="L73" s="84"/>
      <c r="M73" s="84" t="s">
        <v>185</v>
      </c>
      <c r="N73" s="128">
        <v>44475</v>
      </c>
      <c r="Q73" s="8">
        <v>163104</v>
      </c>
      <c r="R73" s="9" t="s">
        <v>190</v>
      </c>
      <c r="S73" s="9" t="s">
        <v>190</v>
      </c>
      <c r="T73" s="8">
        <v>163104</v>
      </c>
      <c r="V73" s="8"/>
      <c r="W73" s="9" t="s">
        <v>190</v>
      </c>
      <c r="X73" s="1" t="str">
        <f t="shared" si="1"/>
        <v>Stationery</v>
      </c>
    </row>
    <row r="74" spans="2:24" ht="24.75" customHeight="1">
      <c r="B74" s="101" t="s">
        <v>191</v>
      </c>
      <c r="C74" s="101"/>
      <c r="D74" s="102"/>
      <c r="E74" s="102"/>
      <c r="F74" s="103"/>
      <c r="G74" s="85"/>
      <c r="H74" s="85"/>
      <c r="I74" s="95" t="s">
        <v>188</v>
      </c>
      <c r="J74" s="226" t="s">
        <v>5</v>
      </c>
      <c r="K74" s="226"/>
      <c r="L74" s="226"/>
      <c r="M74" s="226"/>
      <c r="N74" s="227"/>
      <c r="Q74" s="8">
        <v>163107</v>
      </c>
      <c r="R74" s="9" t="s">
        <v>156</v>
      </c>
      <c r="S74" t="s">
        <v>156</v>
      </c>
      <c r="T74" s="8">
        <v>163107</v>
      </c>
      <c r="V74" s="8"/>
      <c r="W74" t="s">
        <v>192</v>
      </c>
      <c r="X74" s="1" t="str">
        <f t="shared" si="1"/>
        <v>Telephone Calls/Rent</v>
      </c>
    </row>
    <row r="75" spans="2:24" ht="17.25" customHeight="1">
      <c r="B75" s="104"/>
      <c r="C75" s="102"/>
      <c r="D75" s="102"/>
      <c r="E75" s="102"/>
      <c r="F75" s="103"/>
      <c r="G75" s="85"/>
      <c r="H75" s="85"/>
      <c r="I75" s="105"/>
      <c r="J75" s="85"/>
      <c r="K75" s="85"/>
      <c r="L75" s="85"/>
      <c r="M75" s="85"/>
      <c r="N75" s="85"/>
      <c r="Q75" s="8">
        <v>163110</v>
      </c>
      <c r="R75" s="9" t="s">
        <v>193</v>
      </c>
      <c r="S75" t="s">
        <v>119</v>
      </c>
      <c r="T75" s="8">
        <v>163110</v>
      </c>
      <c r="V75" s="8"/>
      <c r="W75" t="s">
        <v>194</v>
      </c>
      <c r="X75" s="1" t="str">
        <f t="shared" si="1"/>
        <v>Vehicle Expenses</v>
      </c>
    </row>
    <row r="76" spans="2:24" ht="19.5" customHeight="1">
      <c r="B76" s="104"/>
      <c r="C76" s="102"/>
      <c r="D76" s="102"/>
      <c r="E76" s="102"/>
      <c r="F76" s="103"/>
      <c r="G76" s="85"/>
      <c r="H76" s="85"/>
      <c r="I76" s="89"/>
      <c r="J76" s="106"/>
      <c r="K76" s="106"/>
      <c r="L76" s="106"/>
      <c r="M76" s="106"/>
      <c r="N76" s="91" t="s">
        <v>195</v>
      </c>
      <c r="Q76" s="8">
        <v>163113</v>
      </c>
      <c r="R76" s="9" t="s">
        <v>158</v>
      </c>
      <c r="S76" t="s">
        <v>158</v>
      </c>
      <c r="T76" s="8">
        <v>163113</v>
      </c>
      <c r="V76" s="8"/>
      <c r="W76" t="s">
        <v>163</v>
      </c>
      <c r="X76" s="1" t="str">
        <f t="shared" si="1"/>
        <v>Workshop Materials</v>
      </c>
    </row>
    <row r="77" spans="2:24" ht="30.75" customHeight="1">
      <c r="B77" s="104"/>
      <c r="C77" s="102"/>
      <c r="D77" s="102"/>
      <c r="E77" s="102"/>
      <c r="F77" s="103"/>
      <c r="G77" s="85"/>
      <c r="H77" s="85"/>
      <c r="I77" s="228" t="s">
        <v>184</v>
      </c>
      <c r="J77" s="229"/>
      <c r="K77" s="229"/>
      <c r="L77" s="229"/>
      <c r="M77" s="125" t="s">
        <v>185</v>
      </c>
      <c r="N77" s="100"/>
      <c r="Q77" s="8">
        <v>163116</v>
      </c>
      <c r="R77" s="9" t="s">
        <v>167</v>
      </c>
      <c r="S77" t="s">
        <v>167</v>
      </c>
      <c r="T77" s="8">
        <v>163116</v>
      </c>
      <c r="V77" s="8"/>
      <c r="W77" s="11"/>
    </row>
    <row r="78" spans="2:24" ht="26.25" customHeight="1">
      <c r="B78" s="107"/>
      <c r="C78" s="108"/>
      <c r="D78" s="108"/>
      <c r="E78" s="108"/>
      <c r="F78" s="109"/>
      <c r="G78" s="85"/>
      <c r="H78" s="85"/>
      <c r="I78" s="95" t="s">
        <v>188</v>
      </c>
      <c r="J78" s="226"/>
      <c r="K78" s="226"/>
      <c r="L78" s="226"/>
      <c r="M78" s="226"/>
      <c r="N78" s="227"/>
      <c r="Q78" s="8">
        <v>163119</v>
      </c>
      <c r="R78" s="9" t="s">
        <v>97</v>
      </c>
      <c r="S78" t="s">
        <v>97</v>
      </c>
      <c r="T78" s="8">
        <v>163119</v>
      </c>
      <c r="V78" s="8"/>
      <c r="W78" s="9"/>
    </row>
    <row r="79" spans="2:24" ht="15" customHeight="1">
      <c r="Q79" s="8">
        <v>163122</v>
      </c>
      <c r="R79" s="9" t="s">
        <v>196</v>
      </c>
      <c r="S79" t="s">
        <v>136</v>
      </c>
      <c r="T79" s="8">
        <v>163122</v>
      </c>
      <c r="V79" s="8"/>
      <c r="W79" s="9"/>
    </row>
    <row r="80" spans="2:24" ht="15.75">
      <c r="R80" s="7" t="s">
        <v>197</v>
      </c>
      <c r="V80" s="8"/>
      <c r="W80" s="9"/>
    </row>
    <row r="81" spans="17:23" ht="15.75">
      <c r="Q81" s="8">
        <v>163204</v>
      </c>
      <c r="R81" s="9" t="s">
        <v>164</v>
      </c>
      <c r="S81" t="s">
        <v>164</v>
      </c>
      <c r="T81" s="8">
        <v>163204</v>
      </c>
      <c r="V81" s="8"/>
      <c r="W81" s="9"/>
    </row>
    <row r="82" spans="17:23" ht="15.75">
      <c r="Q82" s="8">
        <v>163207</v>
      </c>
      <c r="R82" s="9" t="s">
        <v>198</v>
      </c>
      <c r="S82" t="s">
        <v>133</v>
      </c>
      <c r="T82" s="8">
        <v>163207</v>
      </c>
      <c r="V82" s="8"/>
      <c r="W82" s="9"/>
    </row>
    <row r="83" spans="17:23" ht="15.75">
      <c r="Q83" s="8">
        <v>163210</v>
      </c>
      <c r="R83" s="11" t="s">
        <v>192</v>
      </c>
      <c r="S83" t="s">
        <v>192</v>
      </c>
      <c r="T83" s="8">
        <v>163210</v>
      </c>
      <c r="V83" s="8"/>
      <c r="W83" s="9"/>
    </row>
    <row r="84" spans="17:23" ht="15.75">
      <c r="Q84" s="8">
        <v>163213</v>
      </c>
      <c r="R84" s="11" t="s">
        <v>199</v>
      </c>
      <c r="S84" t="s">
        <v>94</v>
      </c>
      <c r="T84" s="8">
        <v>163213</v>
      </c>
      <c r="V84" s="8"/>
      <c r="W84" s="10"/>
    </row>
    <row r="85" spans="17:23" ht="15.75">
      <c r="R85" s="7" t="s">
        <v>200</v>
      </c>
      <c r="V85" s="8"/>
      <c r="W85" s="10"/>
    </row>
    <row r="86" spans="17:23" ht="15.75">
      <c r="Q86" s="8">
        <v>169410</v>
      </c>
      <c r="R86" s="9" t="s">
        <v>99</v>
      </c>
      <c r="S86" t="s">
        <v>99</v>
      </c>
      <c r="T86" s="8">
        <v>169410</v>
      </c>
      <c r="V86" s="8"/>
      <c r="W86" s="9"/>
    </row>
    <row r="87" spans="17:23" ht="15.75">
      <c r="Q87" s="8">
        <v>169416</v>
      </c>
      <c r="R87" s="9" t="s">
        <v>201</v>
      </c>
      <c r="S87" t="s">
        <v>84</v>
      </c>
      <c r="T87" s="8">
        <v>169416</v>
      </c>
      <c r="V87" s="8"/>
      <c r="W87" s="9"/>
    </row>
    <row r="88" spans="17:23" ht="15.75">
      <c r="Q88" s="13"/>
      <c r="R88" s="12" t="s">
        <v>202</v>
      </c>
      <c r="T88" s="13"/>
      <c r="V88" s="8"/>
      <c r="W88" s="9"/>
    </row>
    <row r="89" spans="17:23" ht="15.75">
      <c r="Q89" s="8">
        <v>165407</v>
      </c>
      <c r="R89" s="9" t="s">
        <v>194</v>
      </c>
      <c r="S89" t="s">
        <v>194</v>
      </c>
      <c r="T89" s="8">
        <v>165407</v>
      </c>
      <c r="V89" s="8"/>
      <c r="W89" s="9"/>
    </row>
    <row r="90" spans="17:23" ht="15.75">
      <c r="R90" s="7" t="s">
        <v>203</v>
      </c>
      <c r="V90" s="8"/>
      <c r="W90" s="9"/>
    </row>
    <row r="91" spans="17:23" ht="15.75">
      <c r="Q91" s="8">
        <v>167604</v>
      </c>
      <c r="R91" s="9" t="s">
        <v>122</v>
      </c>
      <c r="S91" t="s">
        <v>122</v>
      </c>
      <c r="T91" s="8">
        <v>167604</v>
      </c>
      <c r="V91" s="8"/>
      <c r="W91" s="9"/>
    </row>
    <row r="92" spans="17:23" ht="15.75">
      <c r="Q92" s="8">
        <v>167610</v>
      </c>
      <c r="R92" s="9" t="s">
        <v>125</v>
      </c>
      <c r="S92" t="s">
        <v>125</v>
      </c>
      <c r="T92" s="8">
        <v>167610</v>
      </c>
      <c r="V92" s="8"/>
      <c r="W92" s="9"/>
    </row>
    <row r="93" spans="17:23" ht="15.75">
      <c r="Q93" s="8">
        <v>167613</v>
      </c>
      <c r="R93" s="9" t="s">
        <v>144</v>
      </c>
      <c r="S93" s="9" t="s">
        <v>144</v>
      </c>
      <c r="T93" s="8">
        <v>167613</v>
      </c>
      <c r="V93" s="8"/>
      <c r="W93" s="9"/>
    </row>
    <row r="94" spans="17:23" ht="15.75">
      <c r="Q94" s="6"/>
      <c r="R94" s="7" t="s">
        <v>204</v>
      </c>
      <c r="T94" s="6"/>
      <c r="V94" s="8"/>
      <c r="W94" s="9"/>
    </row>
    <row r="95" spans="17:23" ht="15.75">
      <c r="Q95" s="8">
        <v>165304</v>
      </c>
      <c r="R95" s="9" t="s">
        <v>138</v>
      </c>
      <c r="S95" s="9" t="s">
        <v>138</v>
      </c>
      <c r="T95" s="8">
        <v>165304</v>
      </c>
      <c r="V95" s="8"/>
      <c r="W95" s="9"/>
    </row>
    <row r="96" spans="17:23" ht="15.75">
      <c r="Q96" s="6"/>
      <c r="R96" s="7" t="s">
        <v>205</v>
      </c>
      <c r="T96" s="6"/>
      <c r="V96" s="8"/>
      <c r="W96" s="9"/>
    </row>
    <row r="97" spans="17:23" ht="15.75">
      <c r="Q97" s="8">
        <v>162304</v>
      </c>
      <c r="R97" s="9" t="s">
        <v>71</v>
      </c>
      <c r="S97" s="9" t="s">
        <v>71</v>
      </c>
      <c r="T97" s="8">
        <v>162304</v>
      </c>
      <c r="V97" s="8"/>
      <c r="W97" s="9"/>
    </row>
    <row r="98" spans="17:23" ht="15.75">
      <c r="Q98" s="8">
        <v>162307</v>
      </c>
      <c r="R98" s="9" t="s">
        <v>206</v>
      </c>
      <c r="S98" s="9" t="s">
        <v>149</v>
      </c>
      <c r="T98" s="8">
        <v>162307</v>
      </c>
      <c r="V98" s="8"/>
      <c r="W98" s="9"/>
    </row>
    <row r="99" spans="17:23" ht="15.75">
      <c r="Q99" s="8">
        <v>162319</v>
      </c>
      <c r="R99" s="9" t="s">
        <v>207</v>
      </c>
      <c r="S99" s="9" t="s">
        <v>146</v>
      </c>
      <c r="T99" s="8">
        <v>162319</v>
      </c>
      <c r="V99" s="6"/>
      <c r="W99" s="9"/>
    </row>
    <row r="100" spans="17:23" ht="15.75">
      <c r="Q100" s="8">
        <v>162322</v>
      </c>
      <c r="R100" s="9" t="s">
        <v>171</v>
      </c>
      <c r="S100" s="9" t="s">
        <v>171</v>
      </c>
      <c r="T100" s="8">
        <v>162322</v>
      </c>
      <c r="V100" s="8"/>
      <c r="W100" s="9"/>
    </row>
    <row r="101" spans="17:23" ht="15.75">
      <c r="Q101" s="6"/>
      <c r="R101" s="7" t="s">
        <v>208</v>
      </c>
      <c r="T101" s="6"/>
      <c r="V101" s="8"/>
      <c r="W101" s="9"/>
    </row>
    <row r="102" spans="17:23" ht="15.75">
      <c r="Q102" s="8">
        <v>162404</v>
      </c>
      <c r="R102" s="9" t="s">
        <v>108</v>
      </c>
      <c r="S102" s="9" t="s">
        <v>108</v>
      </c>
      <c r="T102" s="8">
        <v>162404</v>
      </c>
      <c r="V102" s="8"/>
      <c r="W102" s="9"/>
    </row>
    <row r="103" spans="17:23" ht="15.75">
      <c r="Q103" s="8">
        <v>162407</v>
      </c>
      <c r="R103" s="9" t="s">
        <v>175</v>
      </c>
      <c r="S103" s="9" t="s">
        <v>175</v>
      </c>
      <c r="T103" s="8">
        <v>162407</v>
      </c>
      <c r="V103" s="8"/>
      <c r="W103" s="9"/>
    </row>
    <row r="104" spans="17:23" ht="15.75">
      <c r="Q104" s="6"/>
      <c r="R104" s="7" t="s">
        <v>209</v>
      </c>
      <c r="T104" s="6"/>
      <c r="V104" s="5"/>
      <c r="W104" s="9"/>
    </row>
    <row r="105" spans="17:23" ht="15.75">
      <c r="Q105" s="8">
        <v>167104</v>
      </c>
      <c r="R105" s="9" t="s">
        <v>105</v>
      </c>
      <c r="S105" s="9" t="s">
        <v>105</v>
      </c>
      <c r="T105" s="8">
        <v>167104</v>
      </c>
      <c r="W105" s="9"/>
    </row>
    <row r="106" spans="17:23" ht="15.75">
      <c r="Q106" s="6"/>
      <c r="R106" s="7" t="s">
        <v>210</v>
      </c>
      <c r="T106" s="6"/>
      <c r="W106" s="7"/>
    </row>
    <row r="107" spans="17:23" ht="15.75">
      <c r="Q107" s="8">
        <v>162504</v>
      </c>
      <c r="R107" s="9" t="s">
        <v>183</v>
      </c>
      <c r="S107" s="9" t="s">
        <v>183</v>
      </c>
      <c r="T107" s="8">
        <v>162504</v>
      </c>
      <c r="W107" s="7"/>
    </row>
    <row r="108" spans="17:23" ht="15.75">
      <c r="Q108" s="8">
        <v>162507</v>
      </c>
      <c r="R108" s="10" t="s">
        <v>179</v>
      </c>
      <c r="S108" s="10" t="s">
        <v>179</v>
      </c>
      <c r="T108" s="8">
        <v>162507</v>
      </c>
      <c r="W108" s="7"/>
    </row>
    <row r="109" spans="17:23" ht="15.75">
      <c r="Q109" s="6"/>
      <c r="R109" s="7" t="s">
        <v>211</v>
      </c>
      <c r="T109" s="6"/>
      <c r="W109" s="7"/>
    </row>
    <row r="110" spans="17:23" ht="15.75">
      <c r="Q110" s="8">
        <v>169507</v>
      </c>
      <c r="R110" s="9" t="s">
        <v>212</v>
      </c>
      <c r="S110" s="9" t="s">
        <v>152</v>
      </c>
      <c r="T110" s="8">
        <v>169507</v>
      </c>
      <c r="W110" s="7"/>
    </row>
    <row r="111" spans="17:23" ht="15.75">
      <c r="Q111" s="8">
        <v>169525</v>
      </c>
      <c r="R111" s="9" t="s">
        <v>213</v>
      </c>
      <c r="S111" s="9" t="s">
        <v>213</v>
      </c>
      <c r="T111" s="8">
        <v>169525</v>
      </c>
      <c r="W111" s="7"/>
    </row>
    <row r="112" spans="17:23" ht="15.75">
      <c r="V112" s="13"/>
      <c r="W112" s="7"/>
    </row>
    <row r="113" spans="17:23" ht="15.75">
      <c r="Q113" s="14" t="s">
        <v>214</v>
      </c>
      <c r="W113" s="7"/>
    </row>
    <row r="114" spans="17:23" ht="15.75">
      <c r="Q114" s="12" t="s">
        <v>215</v>
      </c>
      <c r="V114" s="6"/>
      <c r="W114" s="12"/>
    </row>
    <row r="115" spans="17:23" ht="15.75">
      <c r="Q115" s="12" t="s">
        <v>216</v>
      </c>
      <c r="V115" s="6"/>
      <c r="W115" s="7"/>
    </row>
    <row r="116" spans="17:23" ht="15.75">
      <c r="Q116" s="15"/>
      <c r="R116" s="7" t="s">
        <v>145</v>
      </c>
      <c r="V116" s="6"/>
      <c r="W116" s="7"/>
    </row>
    <row r="117" spans="17:23" ht="15.75">
      <c r="Q117" s="8">
        <v>164107</v>
      </c>
      <c r="R117" s="9" t="s">
        <v>217</v>
      </c>
      <c r="V117" s="6"/>
      <c r="W117" s="7"/>
    </row>
    <row r="118" spans="17:23" ht="15.75">
      <c r="Q118" s="8">
        <v>164113</v>
      </c>
      <c r="R118" s="9" t="s">
        <v>218</v>
      </c>
      <c r="V118" s="6"/>
      <c r="W118" s="7"/>
    </row>
    <row r="119" spans="17:23" ht="15.75">
      <c r="Q119" s="8">
        <v>164116</v>
      </c>
      <c r="R119" s="9" t="s">
        <v>219</v>
      </c>
      <c r="V119" s="6"/>
      <c r="W119" s="7"/>
    </row>
    <row r="120" spans="17:23" ht="15.75">
      <c r="Q120" s="8">
        <v>164122</v>
      </c>
      <c r="R120" s="9" t="s">
        <v>220</v>
      </c>
      <c r="W120" s="7"/>
    </row>
    <row r="121" spans="17:23" ht="15.75">
      <c r="Q121" s="9"/>
      <c r="R121" s="7" t="s">
        <v>170</v>
      </c>
      <c r="W121" s="7"/>
    </row>
    <row r="122" spans="17:23" ht="15.75">
      <c r="Q122" s="8">
        <v>165104</v>
      </c>
      <c r="R122" s="9" t="s">
        <v>221</v>
      </c>
    </row>
    <row r="123" spans="17:23" ht="15.75">
      <c r="Q123" s="8">
        <v>165110</v>
      </c>
      <c r="R123" s="9" t="s">
        <v>222</v>
      </c>
    </row>
    <row r="124" spans="17:23" ht="15.75">
      <c r="Q124" s="8">
        <v>165113</v>
      </c>
      <c r="R124" s="9" t="s">
        <v>223</v>
      </c>
    </row>
    <row r="125" spans="17:23" ht="15.75">
      <c r="Q125" s="8">
        <v>165116</v>
      </c>
      <c r="R125" s="10" t="s">
        <v>224</v>
      </c>
    </row>
    <row r="126" spans="17:23" ht="15.75">
      <c r="Q126" s="8">
        <v>165122</v>
      </c>
      <c r="R126" s="9" t="s">
        <v>225</v>
      </c>
    </row>
    <row r="127" spans="17:23" ht="15.75">
      <c r="Q127" s="8">
        <v>165128</v>
      </c>
      <c r="R127" s="9" t="s">
        <v>226</v>
      </c>
    </row>
    <row r="128" spans="17:23" ht="15.75">
      <c r="R128" s="7" t="s">
        <v>227</v>
      </c>
    </row>
    <row r="129" spans="17:18" ht="15.75">
      <c r="Q129" s="8">
        <v>165213</v>
      </c>
      <c r="R129" s="9" t="s">
        <v>228</v>
      </c>
    </row>
    <row r="130" spans="17:18" ht="15.75">
      <c r="Q130" s="8">
        <v>165216</v>
      </c>
      <c r="R130" s="9" t="s">
        <v>229</v>
      </c>
    </row>
    <row r="131" spans="17:18" ht="15.75">
      <c r="Q131" s="8">
        <v>165219</v>
      </c>
      <c r="R131" s="9" t="s">
        <v>230</v>
      </c>
    </row>
    <row r="132" spans="17:18" ht="15.75">
      <c r="Q132" s="8">
        <v>165225</v>
      </c>
      <c r="R132" s="9" t="s">
        <v>231</v>
      </c>
    </row>
    <row r="133" spans="17:18" ht="15.75">
      <c r="R133" s="7" t="s">
        <v>124</v>
      </c>
    </row>
    <row r="134" spans="17:18" ht="15.75">
      <c r="Q134" s="8">
        <v>169207</v>
      </c>
      <c r="R134" s="9" t="s">
        <v>232</v>
      </c>
    </row>
    <row r="135" spans="17:18" ht="15.75">
      <c r="R135" s="7" t="s">
        <v>200</v>
      </c>
    </row>
    <row r="136" spans="17:18" ht="15.75">
      <c r="Q136" s="8">
        <v>169413</v>
      </c>
      <c r="R136" s="9" t="s">
        <v>233</v>
      </c>
    </row>
    <row r="137" spans="17:18" ht="15.75">
      <c r="R137" s="7" t="s">
        <v>203</v>
      </c>
    </row>
    <row r="138" spans="17:18" ht="15.75">
      <c r="Q138" s="8">
        <v>167607</v>
      </c>
      <c r="R138" s="9" t="s">
        <v>234</v>
      </c>
    </row>
    <row r="139" spans="17:18" ht="15.75">
      <c r="Q139" s="8">
        <v>167616</v>
      </c>
      <c r="R139" s="9" t="s">
        <v>235</v>
      </c>
    </row>
    <row r="140" spans="17:18" ht="15.75">
      <c r="Q140" s="8">
        <v>167619</v>
      </c>
      <c r="R140" s="9" t="s">
        <v>236</v>
      </c>
    </row>
    <row r="141" spans="17:18" ht="15.75">
      <c r="Q141" s="8">
        <v>167622</v>
      </c>
      <c r="R141" s="10" t="s">
        <v>237</v>
      </c>
    </row>
    <row r="142" spans="17:18" ht="15.75">
      <c r="Q142" s="8">
        <v>167625</v>
      </c>
      <c r="R142" s="9" t="s">
        <v>238</v>
      </c>
    </row>
    <row r="143" spans="17:18" ht="15.75">
      <c r="Q143" s="8">
        <v>167628</v>
      </c>
      <c r="R143" s="10" t="s">
        <v>239</v>
      </c>
    </row>
    <row r="144" spans="17:18" ht="15.75">
      <c r="R144" s="7" t="s">
        <v>204</v>
      </c>
    </row>
    <row r="145" spans="17:18" ht="15.75">
      <c r="Q145" s="8">
        <v>165307</v>
      </c>
      <c r="R145" s="9" t="s">
        <v>240</v>
      </c>
    </row>
    <row r="146" spans="17:18" ht="15.75">
      <c r="Q146" s="8">
        <v>165310</v>
      </c>
      <c r="R146" s="9" t="s">
        <v>241</v>
      </c>
    </row>
    <row r="147" spans="17:18" ht="15.75">
      <c r="Q147" s="6"/>
      <c r="R147" s="7" t="s">
        <v>242</v>
      </c>
    </row>
    <row r="148" spans="17:18" ht="15.75">
      <c r="Q148" s="8">
        <v>162204</v>
      </c>
      <c r="R148" s="9" t="s">
        <v>243</v>
      </c>
    </row>
    <row r="149" spans="17:18" ht="15.75">
      <c r="Q149" s="8">
        <v>162207</v>
      </c>
      <c r="R149" s="9" t="s">
        <v>244</v>
      </c>
    </row>
    <row r="150" spans="17:18" ht="15.75">
      <c r="Q150" s="8">
        <v>162210</v>
      </c>
      <c r="R150" s="9" t="s">
        <v>245</v>
      </c>
    </row>
    <row r="151" spans="17:18" ht="15.75">
      <c r="Q151" s="8">
        <v>162213</v>
      </c>
      <c r="R151" s="9" t="s">
        <v>246</v>
      </c>
    </row>
    <row r="152" spans="17:18" ht="15.75">
      <c r="R152" s="7" t="s">
        <v>205</v>
      </c>
    </row>
    <row r="153" spans="17:18" ht="15.75">
      <c r="Q153" s="8">
        <v>162310</v>
      </c>
      <c r="R153" s="9" t="s">
        <v>247</v>
      </c>
    </row>
    <row r="154" spans="17:18" ht="15.75">
      <c r="Q154" s="8">
        <v>162313</v>
      </c>
      <c r="R154" s="9" t="s">
        <v>248</v>
      </c>
    </row>
    <row r="155" spans="17:18" ht="15.75">
      <c r="Q155" s="8">
        <v>162316</v>
      </c>
      <c r="R155" s="9" t="s">
        <v>249</v>
      </c>
    </row>
    <row r="156" spans="17:18" ht="15.75">
      <c r="R156" s="7" t="s">
        <v>208</v>
      </c>
    </row>
    <row r="157" spans="17:18" ht="15.75">
      <c r="Q157" s="8">
        <v>162410</v>
      </c>
      <c r="R157" s="9" t="s">
        <v>250</v>
      </c>
    </row>
    <row r="158" spans="17:18" ht="15.75">
      <c r="Q158" s="8">
        <v>162413</v>
      </c>
      <c r="R158" s="10" t="s">
        <v>251</v>
      </c>
    </row>
    <row r="159" spans="17:18" ht="15.75">
      <c r="Q159" s="8">
        <v>162416</v>
      </c>
      <c r="R159" s="9" t="s">
        <v>252</v>
      </c>
    </row>
    <row r="160" spans="17:18" ht="15.75">
      <c r="Q160" s="8">
        <v>162419</v>
      </c>
      <c r="R160" s="9" t="s">
        <v>253</v>
      </c>
    </row>
    <row r="161" spans="17:18" ht="15.75">
      <c r="Q161" s="8">
        <v>162422</v>
      </c>
      <c r="R161" s="9" t="s">
        <v>254</v>
      </c>
    </row>
    <row r="162" spans="17:18" ht="15.75">
      <c r="Q162" s="6"/>
      <c r="R162" s="7" t="s">
        <v>202</v>
      </c>
    </row>
    <row r="163" spans="17:18" ht="15.75">
      <c r="Q163" s="8">
        <v>165404</v>
      </c>
      <c r="R163" s="9" t="s">
        <v>255</v>
      </c>
    </row>
    <row r="164" spans="17:18" ht="15.75">
      <c r="Q164" s="6"/>
      <c r="R164" s="7" t="s">
        <v>256</v>
      </c>
    </row>
    <row r="165" spans="17:18" ht="15.75">
      <c r="Q165" s="8">
        <v>162604</v>
      </c>
      <c r="R165" s="9" t="s">
        <v>256</v>
      </c>
    </row>
    <row r="166" spans="17:18" ht="15.75">
      <c r="Q166" s="8">
        <v>162607</v>
      </c>
      <c r="R166" s="9" t="s">
        <v>257</v>
      </c>
    </row>
    <row r="167" spans="17:18" ht="15.75">
      <c r="R167" s="7" t="s">
        <v>209</v>
      </c>
    </row>
    <row r="168" spans="17:18" ht="15.75">
      <c r="Q168" s="8">
        <v>167107</v>
      </c>
      <c r="R168" s="9" t="s">
        <v>258</v>
      </c>
    </row>
    <row r="169" spans="17:18" ht="15.75">
      <c r="Q169" s="8">
        <v>167110</v>
      </c>
      <c r="R169" s="9" t="s">
        <v>259</v>
      </c>
    </row>
    <row r="170" spans="17:18" ht="15.75">
      <c r="Q170" s="8">
        <v>167113</v>
      </c>
      <c r="R170" s="9" t="s">
        <v>260</v>
      </c>
    </row>
    <row r="171" spans="17:18" ht="15.75">
      <c r="Q171" s="8">
        <v>167116</v>
      </c>
      <c r="R171" s="9" t="s">
        <v>261</v>
      </c>
    </row>
    <row r="172" spans="17:18" ht="15.75">
      <c r="Q172" s="8">
        <v>167119</v>
      </c>
      <c r="R172" s="9" t="s">
        <v>262</v>
      </c>
    </row>
    <row r="173" spans="17:18" ht="15.75">
      <c r="Q173" s="8">
        <v>167122</v>
      </c>
      <c r="R173" s="9" t="s">
        <v>263</v>
      </c>
    </row>
    <row r="174" spans="17:18" ht="15.75">
      <c r="Q174" s="8">
        <v>167125</v>
      </c>
      <c r="R174" s="9" t="s">
        <v>264</v>
      </c>
    </row>
    <row r="175" spans="17:18" ht="15.75">
      <c r="Q175" s="8">
        <v>167128</v>
      </c>
      <c r="R175" s="9" t="s">
        <v>265</v>
      </c>
    </row>
    <row r="176" spans="17:18" ht="15.75">
      <c r="Q176" s="8">
        <v>167131</v>
      </c>
      <c r="R176" s="9" t="s">
        <v>266</v>
      </c>
    </row>
    <row r="177" spans="17:18" ht="15.75">
      <c r="Q177" s="8">
        <v>167134</v>
      </c>
      <c r="R177" s="9" t="s">
        <v>267</v>
      </c>
    </row>
    <row r="178" spans="17:18" ht="15.75">
      <c r="Q178" s="8">
        <v>167137</v>
      </c>
      <c r="R178" s="9" t="s">
        <v>268</v>
      </c>
    </row>
    <row r="179" spans="17:18" ht="15.75">
      <c r="Q179" s="8">
        <v>167143</v>
      </c>
      <c r="R179" s="9" t="s">
        <v>269</v>
      </c>
    </row>
    <row r="180" spans="17:18" ht="15.75">
      <c r="Q180" s="8">
        <v>167146</v>
      </c>
      <c r="R180" s="9" t="s">
        <v>270</v>
      </c>
    </row>
    <row r="181" spans="17:18" ht="15.75">
      <c r="Q181" s="8">
        <v>167149</v>
      </c>
      <c r="R181" s="9" t="s">
        <v>271</v>
      </c>
    </row>
    <row r="182" spans="17:18" ht="15.75">
      <c r="Q182" s="8">
        <v>167152</v>
      </c>
      <c r="R182" s="9" t="s">
        <v>272</v>
      </c>
    </row>
    <row r="183" spans="17:18" ht="15.75">
      <c r="Q183" s="8">
        <v>167155</v>
      </c>
      <c r="R183" s="9" t="s">
        <v>273</v>
      </c>
    </row>
    <row r="184" spans="17:18" ht="15.75">
      <c r="Q184" s="8">
        <v>167158</v>
      </c>
      <c r="R184" s="9" t="s">
        <v>274</v>
      </c>
    </row>
    <row r="185" spans="17:18" ht="15.75">
      <c r="Q185" s="8">
        <v>167164</v>
      </c>
      <c r="R185" s="9" t="s">
        <v>275</v>
      </c>
    </row>
    <row r="186" spans="17:18" ht="15.75">
      <c r="Q186" s="8">
        <v>167170</v>
      </c>
      <c r="R186" s="9" t="s">
        <v>276</v>
      </c>
    </row>
    <row r="187" spans="17:18" ht="15.75">
      <c r="Q187" s="8">
        <v>167173</v>
      </c>
      <c r="R187" s="9" t="s">
        <v>277</v>
      </c>
    </row>
    <row r="188" spans="17:18" ht="15.75">
      <c r="Q188" s="8">
        <v>167176</v>
      </c>
      <c r="R188" s="9" t="s">
        <v>278</v>
      </c>
    </row>
    <row r="189" spans="17:18" ht="15.75">
      <c r="Q189" s="8">
        <v>167179</v>
      </c>
      <c r="R189" s="9" t="s">
        <v>279</v>
      </c>
    </row>
    <row r="190" spans="17:18" ht="15.75">
      <c r="Q190" s="8">
        <v>167182</v>
      </c>
      <c r="R190" s="9" t="s">
        <v>280</v>
      </c>
    </row>
    <row r="191" spans="17:18" ht="15.75">
      <c r="Q191" s="8">
        <v>167304</v>
      </c>
      <c r="R191" s="9" t="s">
        <v>281</v>
      </c>
    </row>
    <row r="192" spans="17:18" ht="15.75">
      <c r="Q192" s="8">
        <v>167307</v>
      </c>
      <c r="R192" s="9" t="s">
        <v>282</v>
      </c>
    </row>
    <row r="193" spans="17:18" ht="15.75">
      <c r="Q193" s="8">
        <v>167310</v>
      </c>
      <c r="R193" s="9" t="s">
        <v>283</v>
      </c>
    </row>
    <row r="194" spans="17:18" ht="15.75">
      <c r="Q194" s="8">
        <v>167313</v>
      </c>
      <c r="R194" s="9" t="s">
        <v>284</v>
      </c>
    </row>
    <row r="195" spans="17:18" ht="15.75">
      <c r="Q195" s="8">
        <v>167404</v>
      </c>
      <c r="R195" s="9" t="s">
        <v>285</v>
      </c>
    </row>
    <row r="196" spans="17:18" ht="15.75">
      <c r="R196" s="7" t="s">
        <v>211</v>
      </c>
    </row>
    <row r="197" spans="17:18" ht="15.75">
      <c r="Q197" s="8">
        <v>169510</v>
      </c>
      <c r="R197" s="9" t="s">
        <v>286</v>
      </c>
    </row>
    <row r="198" spans="17:18" ht="15.75">
      <c r="Q198" s="8">
        <v>169513</v>
      </c>
      <c r="R198" s="9" t="s">
        <v>287</v>
      </c>
    </row>
    <row r="199" spans="17:18" ht="15.75">
      <c r="Q199" s="8">
        <v>169522</v>
      </c>
      <c r="R199" s="9" t="s">
        <v>288</v>
      </c>
    </row>
    <row r="200" spans="17:18" ht="15.75">
      <c r="Q200" s="8">
        <v>169528</v>
      </c>
      <c r="R200" s="9" t="s">
        <v>289</v>
      </c>
    </row>
    <row r="201" spans="17:18" ht="15.75">
      <c r="Q201" s="8">
        <v>169531</v>
      </c>
      <c r="R201" s="9" t="s">
        <v>290</v>
      </c>
    </row>
    <row r="202" spans="17:18" ht="15.75">
      <c r="Q202" s="8">
        <v>169534</v>
      </c>
      <c r="R202" s="9" t="s">
        <v>291</v>
      </c>
    </row>
  </sheetData>
  <mergeCells count="140">
    <mergeCell ref="G21:H21"/>
    <mergeCell ref="G22:H22"/>
    <mergeCell ref="G23:H23"/>
    <mergeCell ref="G24:H24"/>
    <mergeCell ref="G25:H25"/>
    <mergeCell ref="L17:M17"/>
    <mergeCell ref="L18:M18"/>
    <mergeCell ref="L19:M19"/>
    <mergeCell ref="I72:N72"/>
    <mergeCell ref="D61:I61"/>
    <mergeCell ref="B62:I62"/>
    <mergeCell ref="B63:D63"/>
    <mergeCell ref="B64:I64"/>
    <mergeCell ref="B65:C65"/>
    <mergeCell ref="B67:F67"/>
    <mergeCell ref="I67:N67"/>
    <mergeCell ref="C59:I59"/>
    <mergeCell ref="E60:F60"/>
    <mergeCell ref="G60:I60"/>
    <mergeCell ref="J60:K60"/>
    <mergeCell ref="L57:M57"/>
    <mergeCell ref="D73:F73"/>
    <mergeCell ref="J74:N74"/>
    <mergeCell ref="I77:L77"/>
    <mergeCell ref="J78:N78"/>
    <mergeCell ref="B68:F68"/>
    <mergeCell ref="I68:N68"/>
    <mergeCell ref="B69:F69"/>
    <mergeCell ref="I69:N69"/>
    <mergeCell ref="B70:F70"/>
    <mergeCell ref="B71:F71"/>
    <mergeCell ref="I71:N71"/>
    <mergeCell ref="E58:H58"/>
    <mergeCell ref="L58:M58"/>
    <mergeCell ref="C47:N47"/>
    <mergeCell ref="E48:H48"/>
    <mergeCell ref="L48:M48"/>
    <mergeCell ref="E49:H49"/>
    <mergeCell ref="L49:M49"/>
    <mergeCell ref="E56:H56"/>
    <mergeCell ref="L56:M56"/>
    <mergeCell ref="E57:H57"/>
    <mergeCell ref="E43:F43"/>
    <mergeCell ref="G43:H43"/>
    <mergeCell ref="L43:M43"/>
    <mergeCell ref="C44:I44"/>
    <mergeCell ref="E45:F45"/>
    <mergeCell ref="G45:I45"/>
    <mergeCell ref="J45:K45"/>
    <mergeCell ref="E41:F41"/>
    <mergeCell ref="G41:H41"/>
    <mergeCell ref="L41:M41"/>
    <mergeCell ref="E42:F42"/>
    <mergeCell ref="G42:H42"/>
    <mergeCell ref="L42:M42"/>
    <mergeCell ref="E39:F39"/>
    <mergeCell ref="G39:H39"/>
    <mergeCell ref="L39:M39"/>
    <mergeCell ref="E40:F40"/>
    <mergeCell ref="G40:H40"/>
    <mergeCell ref="L40:M40"/>
    <mergeCell ref="C35:I35"/>
    <mergeCell ref="E36:F36"/>
    <mergeCell ref="G36:I36"/>
    <mergeCell ref="J36:K36"/>
    <mergeCell ref="J37:N37"/>
    <mergeCell ref="C38:N38"/>
    <mergeCell ref="G16:H16"/>
    <mergeCell ref="L16:M16"/>
    <mergeCell ref="G14:H14"/>
    <mergeCell ref="L14:M14"/>
    <mergeCell ref="G15:H15"/>
    <mergeCell ref="L15:M15"/>
    <mergeCell ref="G33:H33"/>
    <mergeCell ref="L33:M33"/>
    <mergeCell ref="G34:H34"/>
    <mergeCell ref="L34:M34"/>
    <mergeCell ref="G31:H31"/>
    <mergeCell ref="L31:M31"/>
    <mergeCell ref="G32:H32"/>
    <mergeCell ref="L32:M32"/>
    <mergeCell ref="G26:H26"/>
    <mergeCell ref="L26:M26"/>
    <mergeCell ref="C27:I27"/>
    <mergeCell ref="E28:F28"/>
    <mergeCell ref="G28:I28"/>
    <mergeCell ref="J28:K28"/>
    <mergeCell ref="G18:H18"/>
    <mergeCell ref="G17:H17"/>
    <mergeCell ref="G19:H19"/>
    <mergeCell ref="G20:H20"/>
    <mergeCell ref="L13:M13"/>
    <mergeCell ref="G7:J7"/>
    <mergeCell ref="K7:L8"/>
    <mergeCell ref="M7:N8"/>
    <mergeCell ref="G8:J8"/>
    <mergeCell ref="G9:J9"/>
    <mergeCell ref="Q5:AA5"/>
    <mergeCell ref="C6:F10"/>
    <mergeCell ref="G6:J6"/>
    <mergeCell ref="K6:L6"/>
    <mergeCell ref="M6:N6"/>
    <mergeCell ref="I5:J5"/>
    <mergeCell ref="K5:L5"/>
    <mergeCell ref="L20:M20"/>
    <mergeCell ref="L21:M21"/>
    <mergeCell ref="L22:M22"/>
    <mergeCell ref="L23:M23"/>
    <mergeCell ref="L24:M24"/>
    <mergeCell ref="L25:M25"/>
    <mergeCell ref="E1:J2"/>
    <mergeCell ref="K1:N1"/>
    <mergeCell ref="B3:C3"/>
    <mergeCell ref="D3:J3"/>
    <mergeCell ref="K3:N3"/>
    <mergeCell ref="K9:L10"/>
    <mergeCell ref="M9:N10"/>
    <mergeCell ref="G10:H10"/>
    <mergeCell ref="B5:B12"/>
    <mergeCell ref="C5:F5"/>
    <mergeCell ref="B4:C4"/>
    <mergeCell ref="D4:F4"/>
    <mergeCell ref="G4:N4"/>
    <mergeCell ref="M5:N5"/>
    <mergeCell ref="C11:N11"/>
    <mergeCell ref="G12:H12"/>
    <mergeCell ref="L12:M12"/>
    <mergeCell ref="G13:H13"/>
    <mergeCell ref="E53:H53"/>
    <mergeCell ref="L53:M53"/>
    <mergeCell ref="E54:H54"/>
    <mergeCell ref="L54:M54"/>
    <mergeCell ref="E55:H55"/>
    <mergeCell ref="L55:M55"/>
    <mergeCell ref="E50:H50"/>
    <mergeCell ref="L50:M50"/>
    <mergeCell ref="E51:H51"/>
    <mergeCell ref="L51:M51"/>
    <mergeCell ref="E52:H52"/>
    <mergeCell ref="L52:M52"/>
  </mergeCells>
  <conditionalFormatting sqref="D3:J3">
    <cfRule type="expression" dxfId="133" priority="279" stopIfTrue="1">
      <formula>$D$3=""</formula>
    </cfRule>
  </conditionalFormatting>
  <conditionalFormatting sqref="C6:F10">
    <cfRule type="expression" dxfId="132" priority="278" stopIfTrue="1">
      <formula>AND(OR($D$4&lt;&gt;"",$I$5&lt;&gt;""),$C$6="")</formula>
    </cfRule>
  </conditionalFormatting>
  <conditionalFormatting sqref="I5:J5">
    <cfRule type="expression" dxfId="131" priority="276" stopIfTrue="1">
      <formula>AND($D$3&lt;&gt;"",$I$5="",$D$4="")</formula>
    </cfRule>
  </conditionalFormatting>
  <conditionalFormatting sqref="E28:F28">
    <cfRule type="expression" dxfId="130" priority="275" stopIfTrue="1">
      <formula>AND($J27&gt;0,E28="")</formula>
    </cfRule>
  </conditionalFormatting>
  <conditionalFormatting sqref="J28:K28">
    <cfRule type="expression" dxfId="129" priority="274" stopIfTrue="1">
      <formula>AND($J27&gt;0,J28="")</formula>
    </cfRule>
  </conditionalFormatting>
  <conditionalFormatting sqref="E36:F36">
    <cfRule type="expression" dxfId="128" priority="273" stopIfTrue="1">
      <formula>AND($J35&gt;0,E36="")</formula>
    </cfRule>
  </conditionalFormatting>
  <conditionalFormatting sqref="J36:K36">
    <cfRule type="expression" dxfId="127" priority="272" stopIfTrue="1">
      <formula>AND($J35&gt;0,J36="")</formula>
    </cfRule>
  </conditionalFormatting>
  <conditionalFormatting sqref="E45">
    <cfRule type="expression" dxfId="126" priority="271" stopIfTrue="1">
      <formula>AND($J44&gt;0,E45="")</formula>
    </cfRule>
  </conditionalFormatting>
  <conditionalFormatting sqref="J45:K45">
    <cfRule type="expression" dxfId="125" priority="270" stopIfTrue="1">
      <formula>AND($J44&gt;0,J45="")</formula>
    </cfRule>
  </conditionalFormatting>
  <conditionalFormatting sqref="E60:F60">
    <cfRule type="expression" dxfId="124" priority="269" stopIfTrue="1">
      <formula>AND($J59&gt;0,E60="")</formula>
    </cfRule>
  </conditionalFormatting>
  <conditionalFormatting sqref="J60:K60">
    <cfRule type="expression" dxfId="123" priority="268" stopIfTrue="1">
      <formula>AND($J59&gt;0,J60="")</formula>
    </cfRule>
  </conditionalFormatting>
  <conditionalFormatting sqref="F14 C14 C56:C58">
    <cfRule type="expression" dxfId="122" priority="266" stopIfTrue="1">
      <formula>AND($J14&lt;&gt;"",C14="")</formula>
    </cfRule>
  </conditionalFormatting>
  <conditionalFormatting sqref="D32:D34 D40:D43 D14 D57:D58">
    <cfRule type="expression" dxfId="121" priority="265" stopIfTrue="1">
      <formula>AND(OR($J14&lt;&gt;"",$C14&lt;&gt;""),D14="")</formula>
    </cfRule>
  </conditionalFormatting>
  <conditionalFormatting sqref="C32">
    <cfRule type="expression" dxfId="120" priority="262" stopIfTrue="1">
      <formula>AND($J32&lt;&gt;"",C32="")</formula>
    </cfRule>
  </conditionalFormatting>
  <conditionalFormatting sqref="C33:C34">
    <cfRule type="expression" dxfId="119" priority="259" stopIfTrue="1">
      <formula>AND($J33&lt;&gt;"",C33="")</formula>
    </cfRule>
  </conditionalFormatting>
  <conditionalFormatting sqref="C40">
    <cfRule type="expression" dxfId="118" priority="256" stopIfTrue="1">
      <formula>AND($J40&lt;&gt;"",C40="")</formula>
    </cfRule>
  </conditionalFormatting>
  <conditionalFormatting sqref="C41:C43">
    <cfRule type="expression" dxfId="117" priority="252" stopIfTrue="1">
      <formula>AND($J41&lt;&gt;"",C41="")</formula>
    </cfRule>
  </conditionalFormatting>
  <conditionalFormatting sqref="G13:H14">
    <cfRule type="expression" dxfId="116" priority="242" stopIfTrue="1">
      <formula>AND(OR($J13&lt;&gt;"",$F13&lt;&gt;""),G13="",OR($D13="Rail",$D13="Air Travel"))</formula>
    </cfRule>
  </conditionalFormatting>
  <conditionalFormatting sqref="G7:J7">
    <cfRule type="expression" dxfId="115" priority="241" stopIfTrue="1">
      <formula>AND($I$5&lt;&gt;"",G7="")</formula>
    </cfRule>
  </conditionalFormatting>
  <conditionalFormatting sqref="G8:J8">
    <cfRule type="expression" dxfId="114" priority="240" stopIfTrue="1">
      <formula>AND($I$5&lt;&gt;"",G8="")</formula>
    </cfRule>
  </conditionalFormatting>
  <conditionalFormatting sqref="J10">
    <cfRule type="expression" dxfId="113" priority="239" stopIfTrue="1">
      <formula>AND($I$5&lt;&gt;"",$J$10="")</formula>
    </cfRule>
  </conditionalFormatting>
  <conditionalFormatting sqref="J13:J14">
    <cfRule type="expression" dxfId="112" priority="234" stopIfTrue="1">
      <formula>AND(OR(I13&lt;&gt;"",$F13&lt;&gt;""),J13="")</formula>
    </cfRule>
  </conditionalFormatting>
  <conditionalFormatting sqref="C49">
    <cfRule type="expression" dxfId="111" priority="226" stopIfTrue="1">
      <formula>AND($J13&lt;&gt;"",C49="")</formula>
    </cfRule>
  </conditionalFormatting>
  <conditionalFormatting sqref="F32:F34 F13:F14">
    <cfRule type="expression" dxfId="110" priority="224" stopIfTrue="1">
      <formula>AND($F13="",OR($J13&lt;&gt;"",$D13&lt;&gt;""))</formula>
    </cfRule>
  </conditionalFormatting>
  <conditionalFormatting sqref="G32:H34">
    <cfRule type="expression" dxfId="109" priority="215" stopIfTrue="1">
      <formula>AND(OR($J32&lt;&gt;"",$F32&lt;&gt;""),$G32="")</formula>
    </cfRule>
  </conditionalFormatting>
  <conditionalFormatting sqref="G40:H43">
    <cfRule type="expression" dxfId="108" priority="214" stopIfTrue="1">
      <formula>AND(OR($E40&lt;&gt;"",$J40&lt;&gt;""),$G40="")</formula>
    </cfRule>
  </conditionalFormatting>
  <conditionalFormatting sqref="J40:J43">
    <cfRule type="expression" dxfId="107" priority="213" stopIfTrue="1">
      <formula>AND(OR($G40&lt;&gt;"",$I40&lt;&gt;""),$J40="")</formula>
    </cfRule>
  </conditionalFormatting>
  <conditionalFormatting sqref="J49">
    <cfRule type="expression" dxfId="106" priority="212" stopIfTrue="1">
      <formula>AND(OR($I49&lt;&gt;"",$E49&lt;&gt;""),$J49="")</formula>
    </cfRule>
  </conditionalFormatting>
  <conditionalFormatting sqref="E40:F43 E49:H49">
    <cfRule type="expression" dxfId="105" priority="211" stopIfTrue="1">
      <formula>AND(OR($D40&lt;&gt;"",$J40&lt;&gt;""),$E40="")</formula>
    </cfRule>
  </conditionalFormatting>
  <conditionalFormatting sqref="D49 D57:D58">
    <cfRule type="expression" dxfId="104" priority="210" stopIfTrue="1">
      <formula>LEFT($D49,1)="↓"</formula>
    </cfRule>
  </conditionalFormatting>
  <conditionalFormatting sqref="D49">
    <cfRule type="expression" dxfId="103" priority="283" stopIfTrue="1">
      <formula>AND(OR($J49&lt;&gt;"",#REF!&lt;&gt;""),D49="")</formula>
    </cfRule>
  </conditionalFormatting>
  <conditionalFormatting sqref="D57">
    <cfRule type="expression" dxfId="102" priority="194" stopIfTrue="1">
      <formula>AND(OR($J57&lt;&gt;"",#REF!&lt;&gt;""),D57="")</formula>
    </cfRule>
  </conditionalFormatting>
  <conditionalFormatting sqref="D58">
    <cfRule type="expression" dxfId="101" priority="193" stopIfTrue="1">
      <formula>AND(OR($J58&lt;&gt;"",#REF!&lt;&gt;""),D58="")</formula>
    </cfRule>
  </conditionalFormatting>
  <conditionalFormatting sqref="D13">
    <cfRule type="expression" dxfId="100" priority="420" stopIfTrue="1">
      <formula>AND(OR($J13&lt;&gt;"",$C49&lt;&gt;""),D13="")</formula>
    </cfRule>
  </conditionalFormatting>
  <conditionalFormatting sqref="F16 C16">
    <cfRule type="expression" dxfId="99" priority="191" stopIfTrue="1">
      <formula>AND($J16&lt;&gt;"",C16="")</formula>
    </cfRule>
  </conditionalFormatting>
  <conditionalFormatting sqref="D16">
    <cfRule type="expression" dxfId="98" priority="190" stopIfTrue="1">
      <formula>AND(OR($J16&lt;&gt;"",$C16&lt;&gt;""),D16="")</formula>
    </cfRule>
  </conditionalFormatting>
  <conditionalFormatting sqref="G16:H16">
    <cfRule type="expression" dxfId="97" priority="189" stopIfTrue="1">
      <formula>AND(OR($J16&lt;&gt;"",$F16&lt;&gt;""),G16="",OR($D16="Rail",$D16="Air Travel"))</formula>
    </cfRule>
  </conditionalFormatting>
  <conditionalFormatting sqref="J16">
    <cfRule type="expression" dxfId="96" priority="188" stopIfTrue="1">
      <formula>AND(OR(I16&lt;&gt;"",$F16&lt;&gt;""),J16="")</formula>
    </cfRule>
  </conditionalFormatting>
  <conditionalFormatting sqref="F16">
    <cfRule type="expression" dxfId="95" priority="187" stopIfTrue="1">
      <formula>AND($F16="",OR($J16&lt;&gt;"",$D16&lt;&gt;""))</formula>
    </cfRule>
  </conditionalFormatting>
  <conditionalFormatting sqref="F18 C18">
    <cfRule type="expression" dxfId="94" priority="181" stopIfTrue="1">
      <formula>AND($J18&lt;&gt;"",C18="")</formula>
    </cfRule>
  </conditionalFormatting>
  <conditionalFormatting sqref="D18">
    <cfRule type="expression" dxfId="93" priority="180" stopIfTrue="1">
      <formula>AND(OR($J18&lt;&gt;"",$C18&lt;&gt;""),D18="")</formula>
    </cfRule>
  </conditionalFormatting>
  <conditionalFormatting sqref="G18:H18">
    <cfRule type="expression" dxfId="92" priority="179" stopIfTrue="1">
      <formula>AND(OR($J18&lt;&gt;"",$F18&lt;&gt;""),G18="",OR($D18="Rail",$D18="Air Travel"))</formula>
    </cfRule>
  </conditionalFormatting>
  <conditionalFormatting sqref="J18">
    <cfRule type="expression" dxfId="91" priority="178" stopIfTrue="1">
      <formula>AND(OR(I18&lt;&gt;"",$F18&lt;&gt;""),J18="")</formula>
    </cfRule>
  </conditionalFormatting>
  <conditionalFormatting sqref="F18">
    <cfRule type="expression" dxfId="90" priority="177" stopIfTrue="1">
      <formula>AND($F18="",OR($J18&lt;&gt;"",$D18&lt;&gt;""))</formula>
    </cfRule>
  </conditionalFormatting>
  <conditionalFormatting sqref="C15">
    <cfRule type="expression" dxfId="89" priority="176" stopIfTrue="1">
      <formula>AND($J15&lt;&gt;"",C15="")</formula>
    </cfRule>
  </conditionalFormatting>
  <conditionalFormatting sqref="D15">
    <cfRule type="expression" dxfId="88" priority="175" stopIfTrue="1">
      <formula>AND(OR($J15&lt;&gt;"",$C15&lt;&gt;""),D15="")</formula>
    </cfRule>
  </conditionalFormatting>
  <conditionalFormatting sqref="G15:H15">
    <cfRule type="expression" dxfId="87" priority="174" stopIfTrue="1">
      <formula>AND(OR($J15&lt;&gt;"",$F15&lt;&gt;""),G15="",OR($D15="Rail",$D15="Air Travel"))</formula>
    </cfRule>
  </conditionalFormatting>
  <conditionalFormatting sqref="J15">
    <cfRule type="expression" dxfId="86" priority="173" stopIfTrue="1">
      <formula>AND(OR(I15&lt;&gt;"",$F15&lt;&gt;""),J15="")</formula>
    </cfRule>
  </conditionalFormatting>
  <conditionalFormatting sqref="F17">
    <cfRule type="expression" dxfId="85" priority="171" stopIfTrue="1">
      <formula>AND($J17&lt;&gt;"",F17="")</formula>
    </cfRule>
  </conditionalFormatting>
  <conditionalFormatting sqref="D17">
    <cfRule type="expression" dxfId="84" priority="170" stopIfTrue="1">
      <formula>AND(OR($J17&lt;&gt;"",$C17&lt;&gt;""),D17="")</formula>
    </cfRule>
  </conditionalFormatting>
  <conditionalFormatting sqref="G17:H17">
    <cfRule type="expression" dxfId="83" priority="169" stopIfTrue="1">
      <formula>AND(OR($J17&lt;&gt;"",$F17&lt;&gt;""),G17="",OR($D17="Rail",$D17="Air Travel"))</formula>
    </cfRule>
  </conditionalFormatting>
  <conditionalFormatting sqref="J17">
    <cfRule type="expression" dxfId="82" priority="168" stopIfTrue="1">
      <formula>AND(OR(I17&lt;&gt;"",$F17&lt;&gt;""),J17="")</formula>
    </cfRule>
  </conditionalFormatting>
  <conditionalFormatting sqref="F17">
    <cfRule type="expression" dxfId="81" priority="167" stopIfTrue="1">
      <formula>AND($F17="",OR($J17&lt;&gt;"",$D17&lt;&gt;""))</formula>
    </cfRule>
  </conditionalFormatting>
  <conditionalFormatting sqref="F20 C20">
    <cfRule type="expression" dxfId="80" priority="166" stopIfTrue="1">
      <formula>AND($J20&lt;&gt;"",C20="")</formula>
    </cfRule>
  </conditionalFormatting>
  <conditionalFormatting sqref="D20">
    <cfRule type="expression" dxfId="79" priority="165" stopIfTrue="1">
      <formula>AND(OR($J20&lt;&gt;"",$C20&lt;&gt;""),D20="")</formula>
    </cfRule>
  </conditionalFormatting>
  <conditionalFormatting sqref="G20:H20">
    <cfRule type="expression" dxfId="78" priority="164" stopIfTrue="1">
      <formula>AND(OR($J20&lt;&gt;"",$F20&lt;&gt;""),G20="",OR($D20="Rail",$D20="Air Travel"))</formula>
    </cfRule>
  </conditionalFormatting>
  <conditionalFormatting sqref="J20">
    <cfRule type="expression" dxfId="77" priority="163" stopIfTrue="1">
      <formula>AND(OR(I20&lt;&gt;"",$F20&lt;&gt;""),J20="")</formula>
    </cfRule>
  </conditionalFormatting>
  <conditionalFormatting sqref="F20">
    <cfRule type="expression" dxfId="76" priority="162" stopIfTrue="1">
      <formula>AND($F20="",OR($J20&lt;&gt;"",$D20&lt;&gt;""))</formula>
    </cfRule>
  </conditionalFormatting>
  <conditionalFormatting sqref="F19">
    <cfRule type="expression" dxfId="75" priority="161" stopIfTrue="1">
      <formula>AND($J19&lt;&gt;"",F19="")</formula>
    </cfRule>
  </conditionalFormatting>
  <conditionalFormatting sqref="D19">
    <cfRule type="expression" dxfId="74" priority="160" stopIfTrue="1">
      <formula>AND(OR($J19&lt;&gt;"",$C19&lt;&gt;""),D19="")</formula>
    </cfRule>
  </conditionalFormatting>
  <conditionalFormatting sqref="G19:H19">
    <cfRule type="expression" dxfId="73" priority="159" stopIfTrue="1">
      <formula>AND(OR($J19&lt;&gt;"",$F19&lt;&gt;""),G19="",OR($D19="Rail",$D19="Air Travel"))</formula>
    </cfRule>
  </conditionalFormatting>
  <conditionalFormatting sqref="J19">
    <cfRule type="expression" dxfId="72" priority="158" stopIfTrue="1">
      <formula>AND(OR(I19&lt;&gt;"",$F19&lt;&gt;""),J19="")</formula>
    </cfRule>
  </conditionalFormatting>
  <conditionalFormatting sqref="F19">
    <cfRule type="expression" dxfId="71" priority="157" stopIfTrue="1">
      <formula>AND($F19="",OR($J19&lt;&gt;"",$D19&lt;&gt;""))</formula>
    </cfRule>
  </conditionalFormatting>
  <conditionalFormatting sqref="F21">
    <cfRule type="expression" dxfId="70" priority="156" stopIfTrue="1">
      <formula>AND($J21&lt;&gt;"",F21="")</formula>
    </cfRule>
  </conditionalFormatting>
  <conditionalFormatting sqref="D21">
    <cfRule type="expression" dxfId="69" priority="155" stopIfTrue="1">
      <formula>AND(OR($J21&lt;&gt;"",$C21&lt;&gt;""),D21="")</formula>
    </cfRule>
  </conditionalFormatting>
  <conditionalFormatting sqref="G21:H21">
    <cfRule type="expression" dxfId="68" priority="154" stopIfTrue="1">
      <formula>AND(OR($J21&lt;&gt;"",$F21&lt;&gt;""),G21="",OR($D21="Rail",$D21="Air Travel"))</formula>
    </cfRule>
  </conditionalFormatting>
  <conditionalFormatting sqref="J21">
    <cfRule type="expression" dxfId="67" priority="153" stopIfTrue="1">
      <formula>AND(OR(I21&lt;&gt;"",$F21&lt;&gt;""),J21="")</formula>
    </cfRule>
  </conditionalFormatting>
  <conditionalFormatting sqref="F21">
    <cfRule type="expression" dxfId="66" priority="152" stopIfTrue="1">
      <formula>AND($F21="",OR($J21&lt;&gt;"",$D21&lt;&gt;""))</formula>
    </cfRule>
  </conditionalFormatting>
  <conditionalFormatting sqref="F22 C22">
    <cfRule type="expression" dxfId="65" priority="151" stopIfTrue="1">
      <formula>AND($J22&lt;&gt;"",C22="")</formula>
    </cfRule>
  </conditionalFormatting>
  <conditionalFormatting sqref="D22">
    <cfRule type="expression" dxfId="64" priority="150" stopIfTrue="1">
      <formula>AND(OR($J22&lt;&gt;"",$C22&lt;&gt;""),D22="")</formula>
    </cfRule>
  </conditionalFormatting>
  <conditionalFormatting sqref="G22:H22">
    <cfRule type="expression" dxfId="63" priority="149" stopIfTrue="1">
      <formula>AND(OR($J22&lt;&gt;"",$F22&lt;&gt;""),G22="",OR($D22="Rail",$D22="Air Travel"))</formula>
    </cfRule>
  </conditionalFormatting>
  <conditionalFormatting sqref="J22">
    <cfRule type="expression" dxfId="62" priority="148" stopIfTrue="1">
      <formula>AND(OR(I22&lt;&gt;"",$F22&lt;&gt;""),J22="")</formula>
    </cfRule>
  </conditionalFormatting>
  <conditionalFormatting sqref="F22">
    <cfRule type="expression" dxfId="61" priority="147" stopIfTrue="1">
      <formula>AND($F22="",OR($J22&lt;&gt;"",$D22&lt;&gt;""))</formula>
    </cfRule>
  </conditionalFormatting>
  <conditionalFormatting sqref="F23">
    <cfRule type="expression" dxfId="60" priority="146" stopIfTrue="1">
      <formula>AND($J23&lt;&gt;"",F23="")</formula>
    </cfRule>
  </conditionalFormatting>
  <conditionalFormatting sqref="D23">
    <cfRule type="expression" dxfId="59" priority="145" stopIfTrue="1">
      <formula>AND(OR($J23&lt;&gt;"",$C23&lt;&gt;""),D23="")</formula>
    </cfRule>
  </conditionalFormatting>
  <conditionalFormatting sqref="G23:H23">
    <cfRule type="expression" dxfId="58" priority="144" stopIfTrue="1">
      <formula>AND(OR($J23&lt;&gt;"",$F23&lt;&gt;""),G23="",OR($D23="Rail",$D23="Air Travel"))</formula>
    </cfRule>
  </conditionalFormatting>
  <conditionalFormatting sqref="J23">
    <cfRule type="expression" dxfId="57" priority="143" stopIfTrue="1">
      <formula>AND(OR(I23&lt;&gt;"",$F23&lt;&gt;""),J23="")</formula>
    </cfRule>
  </conditionalFormatting>
  <conditionalFormatting sqref="F23">
    <cfRule type="expression" dxfId="56" priority="142" stopIfTrue="1">
      <formula>AND($F23="",OR($J23&lt;&gt;"",$D23&lt;&gt;""))</formula>
    </cfRule>
  </conditionalFormatting>
  <conditionalFormatting sqref="F24 C24">
    <cfRule type="expression" dxfId="55" priority="141" stopIfTrue="1">
      <formula>AND($J24&lt;&gt;"",C24="")</formula>
    </cfRule>
  </conditionalFormatting>
  <conditionalFormatting sqref="D24">
    <cfRule type="expression" dxfId="54" priority="140" stopIfTrue="1">
      <formula>AND(OR($J24&lt;&gt;"",$C24&lt;&gt;""),D24="")</formula>
    </cfRule>
  </conditionalFormatting>
  <conditionalFormatting sqref="G24:H24">
    <cfRule type="expression" dxfId="53" priority="139" stopIfTrue="1">
      <formula>AND(OR($J24&lt;&gt;"",$F24&lt;&gt;""),G24="",OR($D24="Rail",$D24="Air Travel"))</formula>
    </cfRule>
  </conditionalFormatting>
  <conditionalFormatting sqref="J24">
    <cfRule type="expression" dxfId="52" priority="138" stopIfTrue="1">
      <formula>AND(OR(I24&lt;&gt;"",$F24&lt;&gt;""),J24="")</formula>
    </cfRule>
  </conditionalFormatting>
  <conditionalFormatting sqref="F24">
    <cfRule type="expression" dxfId="51" priority="137" stopIfTrue="1">
      <formula>AND($F24="",OR($J24&lt;&gt;"",$D24&lt;&gt;""))</formula>
    </cfRule>
  </conditionalFormatting>
  <conditionalFormatting sqref="F25">
    <cfRule type="expression" dxfId="50" priority="136" stopIfTrue="1">
      <formula>AND($J25&lt;&gt;"",F25="")</formula>
    </cfRule>
  </conditionalFormatting>
  <conditionalFormatting sqref="D25">
    <cfRule type="expression" dxfId="49" priority="135" stopIfTrue="1">
      <formula>AND(OR($J25&lt;&gt;"",$C25&lt;&gt;""),D25="")</formula>
    </cfRule>
  </conditionalFormatting>
  <conditionalFormatting sqref="G25:H25">
    <cfRule type="expression" dxfId="48" priority="134" stopIfTrue="1">
      <formula>AND(OR($J25&lt;&gt;"",$F25&lt;&gt;""),G25="",OR($D25="Rail",$D25="Air Travel"))</formula>
    </cfRule>
  </conditionalFormatting>
  <conditionalFormatting sqref="J25">
    <cfRule type="expression" dxfId="47" priority="133" stopIfTrue="1">
      <formula>AND(OR(I25&lt;&gt;"",$F25&lt;&gt;""),J25="")</formula>
    </cfRule>
  </conditionalFormatting>
  <conditionalFormatting sqref="F25">
    <cfRule type="expression" dxfId="46" priority="132" stopIfTrue="1">
      <formula>AND($F25="",OR($J25&lt;&gt;"",$D25&lt;&gt;""))</formula>
    </cfRule>
  </conditionalFormatting>
  <conditionalFormatting sqref="F26 C26">
    <cfRule type="expression" dxfId="45" priority="131" stopIfTrue="1">
      <formula>AND($J26&lt;&gt;"",C26="")</formula>
    </cfRule>
  </conditionalFormatting>
  <conditionalFormatting sqref="D26">
    <cfRule type="expression" dxfId="44" priority="130" stopIfTrue="1">
      <formula>AND(OR($J26&lt;&gt;"",$C26&lt;&gt;""),D26="")</formula>
    </cfRule>
  </conditionalFormatting>
  <conditionalFormatting sqref="G26:H26">
    <cfRule type="expression" dxfId="43" priority="129" stopIfTrue="1">
      <formula>AND(OR($J26&lt;&gt;"",$F26&lt;&gt;""),G26="",OR($D26="Rail",$D26="Air Travel"))</formula>
    </cfRule>
  </conditionalFormatting>
  <conditionalFormatting sqref="J26">
    <cfRule type="expression" dxfId="42" priority="128" stopIfTrue="1">
      <formula>AND(OR(I26&lt;&gt;"",$F26&lt;&gt;""),J26="")</formula>
    </cfRule>
  </conditionalFormatting>
  <conditionalFormatting sqref="F26">
    <cfRule type="expression" dxfId="41" priority="127" stopIfTrue="1">
      <formula>AND($F26="",OR($J26&lt;&gt;"",$D26&lt;&gt;""))</formula>
    </cfRule>
  </conditionalFormatting>
  <conditionalFormatting sqref="F15">
    <cfRule type="expression" dxfId="40" priority="126" stopIfTrue="1">
      <formula>AND($J15&lt;&gt;"",F15="")</formula>
    </cfRule>
  </conditionalFormatting>
  <conditionalFormatting sqref="F15">
    <cfRule type="expression" dxfId="39" priority="125" stopIfTrue="1">
      <formula>AND($F15="",OR($J15&lt;&gt;"",$D15&lt;&gt;""))</formula>
    </cfRule>
  </conditionalFormatting>
  <conditionalFormatting sqref="C17">
    <cfRule type="expression" dxfId="38" priority="124" stopIfTrue="1">
      <formula>AND($J17&lt;&gt;"",C17="")</formula>
    </cfRule>
  </conditionalFormatting>
  <conditionalFormatting sqref="C19">
    <cfRule type="expression" dxfId="37" priority="123" stopIfTrue="1">
      <formula>AND($J19&lt;&gt;"",C19="")</formula>
    </cfRule>
  </conditionalFormatting>
  <conditionalFormatting sqref="C21">
    <cfRule type="expression" dxfId="36" priority="122" stopIfTrue="1">
      <formula>AND($J21&lt;&gt;"",C21="")</formula>
    </cfRule>
  </conditionalFormatting>
  <conditionalFormatting sqref="C23">
    <cfRule type="expression" dxfId="35" priority="121" stopIfTrue="1">
      <formula>AND($J23&lt;&gt;"",C23="")</formula>
    </cfRule>
  </conditionalFormatting>
  <conditionalFormatting sqref="C25">
    <cfRule type="expression" dxfId="34" priority="120" stopIfTrue="1">
      <formula>AND($J25&lt;&gt;"",C25="")</formula>
    </cfRule>
  </conditionalFormatting>
  <conditionalFormatting sqref="J56">
    <cfRule type="expression" dxfId="33" priority="83" stopIfTrue="1">
      <formula>AND(OR($I56&lt;&gt;"",$E56&lt;&gt;""),$J56="")</formula>
    </cfRule>
  </conditionalFormatting>
  <conditionalFormatting sqref="E56:H56">
    <cfRule type="expression" dxfId="32" priority="82" stopIfTrue="1">
      <formula>AND(OR($D56&lt;&gt;"",$J56&lt;&gt;""),$E56="")</formula>
    </cfRule>
  </conditionalFormatting>
  <conditionalFormatting sqref="D56">
    <cfRule type="expression" dxfId="31" priority="81" stopIfTrue="1">
      <formula>LEFT($D56,1)="↓"</formula>
    </cfRule>
  </conditionalFormatting>
  <conditionalFormatting sqref="D56">
    <cfRule type="expression" dxfId="30" priority="84" stopIfTrue="1">
      <formula>AND(OR($J56&lt;&gt;"",#REF!&lt;&gt;""),D56="")</formula>
    </cfRule>
  </conditionalFormatting>
  <conditionalFormatting sqref="J57">
    <cfRule type="expression" dxfId="29" priority="80" stopIfTrue="1">
      <formula>AND(OR($I57&lt;&gt;"",$E57&lt;&gt;""),$J57="")</formula>
    </cfRule>
  </conditionalFormatting>
  <conditionalFormatting sqref="E57:H57">
    <cfRule type="expression" dxfId="28" priority="79" stopIfTrue="1">
      <formula>AND(OR($D57&lt;&gt;"",$J57&lt;&gt;""),$E57="")</formula>
    </cfRule>
  </conditionalFormatting>
  <conditionalFormatting sqref="J58">
    <cfRule type="expression" dxfId="27" priority="78" stopIfTrue="1">
      <formula>AND(OR($I58&lt;&gt;"",$E58&lt;&gt;""),$J58="")</formula>
    </cfRule>
  </conditionalFormatting>
  <conditionalFormatting sqref="E58:H58">
    <cfRule type="expression" dxfId="26" priority="77" stopIfTrue="1">
      <formula>AND(OR($D58&lt;&gt;"",$J58&lt;&gt;""),$E58="")</formula>
    </cfRule>
  </conditionalFormatting>
  <conditionalFormatting sqref="C53:C55">
    <cfRule type="expression" dxfId="25" priority="26" stopIfTrue="1">
      <formula>AND($J53&lt;&gt;"",C53="")</formula>
    </cfRule>
  </conditionalFormatting>
  <conditionalFormatting sqref="D54:D55">
    <cfRule type="expression" dxfId="24" priority="25" stopIfTrue="1">
      <formula>AND(OR($J54&lt;&gt;"",$C54&lt;&gt;""),D54="")</formula>
    </cfRule>
  </conditionalFormatting>
  <conditionalFormatting sqref="D54:D55">
    <cfRule type="expression" dxfId="23" priority="24" stopIfTrue="1">
      <formula>LEFT($D54,1)="↓"</formula>
    </cfRule>
  </conditionalFormatting>
  <conditionalFormatting sqref="D54">
    <cfRule type="expression" dxfId="22" priority="23" stopIfTrue="1">
      <formula>AND(OR($J54&lt;&gt;"",#REF!&lt;&gt;""),D54="")</formula>
    </cfRule>
  </conditionalFormatting>
  <conditionalFormatting sqref="D55">
    <cfRule type="expression" dxfId="21" priority="22" stopIfTrue="1">
      <formula>AND(OR($J55&lt;&gt;"",#REF!&lt;&gt;""),D55="")</formula>
    </cfRule>
  </conditionalFormatting>
  <conditionalFormatting sqref="J53">
    <cfRule type="expression" dxfId="20" priority="20" stopIfTrue="1">
      <formula>AND(OR($I53&lt;&gt;"",$E53&lt;&gt;""),$J53="")</formula>
    </cfRule>
  </conditionalFormatting>
  <conditionalFormatting sqref="E53:H53">
    <cfRule type="expression" dxfId="19" priority="19" stopIfTrue="1">
      <formula>AND(OR($D53&lt;&gt;"",$J53&lt;&gt;""),$E53="")</formula>
    </cfRule>
  </conditionalFormatting>
  <conditionalFormatting sqref="D53">
    <cfRule type="expression" dxfId="18" priority="18" stopIfTrue="1">
      <formula>LEFT($D53,1)="↓"</formula>
    </cfRule>
  </conditionalFormatting>
  <conditionalFormatting sqref="D53">
    <cfRule type="expression" dxfId="17" priority="21" stopIfTrue="1">
      <formula>AND(OR($J53&lt;&gt;"",#REF!&lt;&gt;""),D53="")</formula>
    </cfRule>
  </conditionalFormatting>
  <conditionalFormatting sqref="J54">
    <cfRule type="expression" dxfId="16" priority="17" stopIfTrue="1">
      <formula>AND(OR($I54&lt;&gt;"",$E54&lt;&gt;""),$J54="")</formula>
    </cfRule>
  </conditionalFormatting>
  <conditionalFormatting sqref="E54:H54">
    <cfRule type="expression" dxfId="15" priority="16" stopIfTrue="1">
      <formula>AND(OR($D54&lt;&gt;"",$J54&lt;&gt;""),$E54="")</formula>
    </cfRule>
  </conditionalFormatting>
  <conditionalFormatting sqref="J55">
    <cfRule type="expression" dxfId="14" priority="15" stopIfTrue="1">
      <formula>AND(OR($I55&lt;&gt;"",$E55&lt;&gt;""),$J55="")</formula>
    </cfRule>
  </conditionalFormatting>
  <conditionalFormatting sqref="E55:H55">
    <cfRule type="expression" dxfId="13" priority="14" stopIfTrue="1">
      <formula>AND(OR($D55&lt;&gt;"",$J55&lt;&gt;""),$E55="")</formula>
    </cfRule>
  </conditionalFormatting>
  <conditionalFormatting sqref="C50:C52">
    <cfRule type="expression" dxfId="12" priority="13" stopIfTrue="1">
      <formula>AND($J50&lt;&gt;"",C50="")</formula>
    </cfRule>
  </conditionalFormatting>
  <conditionalFormatting sqref="D51:D52">
    <cfRule type="expression" dxfId="11" priority="12" stopIfTrue="1">
      <formula>AND(OR($J51&lt;&gt;"",$C51&lt;&gt;""),D51="")</formula>
    </cfRule>
  </conditionalFormatting>
  <conditionalFormatting sqref="D51:D52">
    <cfRule type="expression" dxfId="10" priority="11" stopIfTrue="1">
      <formula>LEFT($D51,1)="↓"</formula>
    </cfRule>
  </conditionalFormatting>
  <conditionalFormatting sqref="D51">
    <cfRule type="expression" dxfId="9" priority="10" stopIfTrue="1">
      <formula>AND(OR($J51&lt;&gt;"",#REF!&lt;&gt;""),D51="")</formula>
    </cfRule>
  </conditionalFormatting>
  <conditionalFormatting sqref="D52">
    <cfRule type="expression" dxfId="8" priority="9" stopIfTrue="1">
      <formula>AND(OR($J52&lt;&gt;"",#REF!&lt;&gt;""),D52="")</formula>
    </cfRule>
  </conditionalFormatting>
  <conditionalFormatting sqref="J50">
    <cfRule type="expression" dxfId="7" priority="7" stopIfTrue="1">
      <formula>AND(OR($I50&lt;&gt;"",$E50&lt;&gt;""),$J50="")</formula>
    </cfRule>
  </conditionalFormatting>
  <conditionalFormatting sqref="E50:H50">
    <cfRule type="expression" dxfId="6" priority="6" stopIfTrue="1">
      <formula>AND(OR($D50&lt;&gt;"",$J50&lt;&gt;""),$E50="")</formula>
    </cfRule>
  </conditionalFormatting>
  <conditionalFormatting sqref="D50">
    <cfRule type="expression" dxfId="5" priority="5" stopIfTrue="1">
      <formula>LEFT($D50,1)="↓"</formula>
    </cfRule>
  </conditionalFormatting>
  <conditionalFormatting sqref="D50">
    <cfRule type="expression" dxfId="4" priority="8" stopIfTrue="1">
      <formula>AND(OR($J50&lt;&gt;"",#REF!&lt;&gt;""),D50="")</formula>
    </cfRule>
  </conditionalFormatting>
  <conditionalFormatting sqref="J51">
    <cfRule type="expression" dxfId="3" priority="4" stopIfTrue="1">
      <formula>AND(OR($I51&lt;&gt;"",$E51&lt;&gt;""),$J51="")</formula>
    </cfRule>
  </conditionalFormatting>
  <conditionalFormatting sqref="E51:H51">
    <cfRule type="expression" dxfId="2" priority="3" stopIfTrue="1">
      <formula>AND(OR($D51&lt;&gt;"",$J51&lt;&gt;""),$E51="")</formula>
    </cfRule>
  </conditionalFormatting>
  <conditionalFormatting sqref="J52">
    <cfRule type="expression" dxfId="1" priority="2" stopIfTrue="1">
      <formula>AND(OR($I52&lt;&gt;"",$E52&lt;&gt;""),$J52="")</formula>
    </cfRule>
  </conditionalFormatting>
  <conditionalFormatting sqref="E52:H52">
    <cfRule type="expression" dxfId="0" priority="1" stopIfTrue="1">
      <formula>AND(OR($D52&lt;&gt;"",$J52&lt;&gt;""),$E52="")</formula>
    </cfRule>
  </conditionalFormatting>
  <dataValidations count="2">
    <dataValidation type="list" allowBlank="1" showInputMessage="1" showErrorMessage="1" sqref="D13:D26" xr:uid="{00000000-0002-0000-0000-000001000000}">
      <formula1>$X$12:$X$15</formula1>
    </dataValidation>
    <dataValidation type="list" allowBlank="1" showInputMessage="1" showErrorMessage="1" sqref="D49:D58" xr:uid="{00000000-0002-0000-0000-000000000000}">
      <formula1>$X$27:$X$76</formula1>
    </dataValidation>
  </dataValidations>
  <printOptions horizontalCentered="1" verticalCentered="1"/>
  <pageMargins left="0.23622047244094491" right="0.23622047244094491" top="0.34" bottom="0.27559055118110237" header="0.31496062992125984" footer="0.31496062992125984"/>
  <pageSetup paperSize="9" scale="6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228600</xdr:colOff>
                    <xdr:row>11</xdr:row>
                    <xdr:rowOff>428625</xdr:rowOff>
                  </from>
                  <to>
                    <xdr:col>10</xdr:col>
                    <xdr:colOff>533400</xdr:colOff>
                    <xdr:row>13</xdr:row>
                    <xdr:rowOff>19050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228600</xdr:colOff>
                    <xdr:row>12</xdr:row>
                    <xdr:rowOff>180975</xdr:rowOff>
                  </from>
                  <to>
                    <xdr:col>10</xdr:col>
                    <xdr:colOff>619125</xdr:colOff>
                    <xdr:row>14</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228600</xdr:colOff>
                    <xdr:row>16</xdr:row>
                    <xdr:rowOff>0</xdr:rowOff>
                  </from>
                  <to>
                    <xdr:col>10</xdr:col>
                    <xdr:colOff>533400</xdr:colOff>
                    <xdr:row>17</xdr:row>
                    <xdr:rowOff>9525</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228600</xdr:colOff>
                    <xdr:row>16</xdr:row>
                    <xdr:rowOff>0</xdr:rowOff>
                  </from>
                  <to>
                    <xdr:col>10</xdr:col>
                    <xdr:colOff>533400</xdr:colOff>
                    <xdr:row>17</xdr:row>
                    <xdr:rowOff>9525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228600</xdr:colOff>
                    <xdr:row>13</xdr:row>
                    <xdr:rowOff>180975</xdr:rowOff>
                  </from>
                  <to>
                    <xdr:col>10</xdr:col>
                    <xdr:colOff>619125</xdr:colOff>
                    <xdr:row>15</xdr:row>
                    <xdr:rowOff>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228600</xdr:colOff>
                    <xdr:row>14</xdr:row>
                    <xdr:rowOff>180975</xdr:rowOff>
                  </from>
                  <to>
                    <xdr:col>10</xdr:col>
                    <xdr:colOff>619125</xdr:colOff>
                    <xdr:row>16</xdr:row>
                    <xdr:rowOff>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238125</xdr:colOff>
                    <xdr:row>30</xdr:row>
                    <xdr:rowOff>400050</xdr:rowOff>
                  </from>
                  <to>
                    <xdr:col>10</xdr:col>
                    <xdr:colOff>542925</xdr:colOff>
                    <xdr:row>32</xdr:row>
                    <xdr:rowOff>9525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238125</xdr:colOff>
                    <xdr:row>31</xdr:row>
                    <xdr:rowOff>180975</xdr:rowOff>
                  </from>
                  <to>
                    <xdr:col>10</xdr:col>
                    <xdr:colOff>628650</xdr:colOff>
                    <xdr:row>33</xdr:row>
                    <xdr:rowOff>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10</xdr:col>
                    <xdr:colOff>228600</xdr:colOff>
                    <xdr:row>32</xdr:row>
                    <xdr:rowOff>180975</xdr:rowOff>
                  </from>
                  <to>
                    <xdr:col>10</xdr:col>
                    <xdr:colOff>619125</xdr:colOff>
                    <xdr:row>34</xdr:row>
                    <xdr:rowOff>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10</xdr:col>
                    <xdr:colOff>228600</xdr:colOff>
                    <xdr:row>38</xdr:row>
                    <xdr:rowOff>438150</xdr:rowOff>
                  </from>
                  <to>
                    <xdr:col>10</xdr:col>
                    <xdr:colOff>533400</xdr:colOff>
                    <xdr:row>40</xdr:row>
                    <xdr:rowOff>9525</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228600</xdr:colOff>
                    <xdr:row>39</xdr:row>
                    <xdr:rowOff>180975</xdr:rowOff>
                  </from>
                  <to>
                    <xdr:col>10</xdr:col>
                    <xdr:colOff>619125</xdr:colOff>
                    <xdr:row>41</xdr:row>
                    <xdr:rowOff>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10</xdr:col>
                    <xdr:colOff>228600</xdr:colOff>
                    <xdr:row>40</xdr:row>
                    <xdr:rowOff>180975</xdr:rowOff>
                  </from>
                  <to>
                    <xdr:col>10</xdr:col>
                    <xdr:colOff>619125</xdr:colOff>
                    <xdr:row>42</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10</xdr:col>
                    <xdr:colOff>228600</xdr:colOff>
                    <xdr:row>41</xdr:row>
                    <xdr:rowOff>180975</xdr:rowOff>
                  </from>
                  <to>
                    <xdr:col>10</xdr:col>
                    <xdr:colOff>619125</xdr:colOff>
                    <xdr:row>43</xdr:row>
                    <xdr:rowOff>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238125</xdr:colOff>
                    <xdr:row>47</xdr:row>
                    <xdr:rowOff>400050</xdr:rowOff>
                  </from>
                  <to>
                    <xdr:col>10</xdr:col>
                    <xdr:colOff>542925</xdr:colOff>
                    <xdr:row>48</xdr:row>
                    <xdr:rowOff>190500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10</xdr:col>
                    <xdr:colOff>238125</xdr:colOff>
                    <xdr:row>48</xdr:row>
                    <xdr:rowOff>180975</xdr:rowOff>
                  </from>
                  <to>
                    <xdr:col>10</xdr:col>
                    <xdr:colOff>628650</xdr:colOff>
                    <xdr:row>50</xdr:row>
                    <xdr:rowOff>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10</xdr:col>
                    <xdr:colOff>238125</xdr:colOff>
                    <xdr:row>57</xdr:row>
                    <xdr:rowOff>180975</xdr:rowOff>
                  </from>
                  <to>
                    <xdr:col>10</xdr:col>
                    <xdr:colOff>628650</xdr:colOff>
                    <xdr:row>59</xdr:row>
                    <xdr:rowOff>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10</xdr:col>
                    <xdr:colOff>238125</xdr:colOff>
                    <xdr:row>58</xdr:row>
                    <xdr:rowOff>0</xdr:rowOff>
                  </from>
                  <to>
                    <xdr:col>10</xdr:col>
                    <xdr:colOff>628650</xdr:colOff>
                    <xdr:row>59</xdr:row>
                    <xdr:rowOff>9525</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238125</xdr:colOff>
                    <xdr:row>56</xdr:row>
                    <xdr:rowOff>0</xdr:rowOff>
                  </from>
                  <to>
                    <xdr:col>10</xdr:col>
                    <xdr:colOff>628650</xdr:colOff>
                    <xdr:row>57</xdr:row>
                    <xdr:rowOff>19050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10</xdr:col>
                    <xdr:colOff>238125</xdr:colOff>
                    <xdr:row>55</xdr:row>
                    <xdr:rowOff>171450</xdr:rowOff>
                  </from>
                  <to>
                    <xdr:col>10</xdr:col>
                    <xdr:colOff>628650</xdr:colOff>
                    <xdr:row>56</xdr:row>
                    <xdr:rowOff>190500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238125</xdr:colOff>
                    <xdr:row>56</xdr:row>
                    <xdr:rowOff>180975</xdr:rowOff>
                  </from>
                  <to>
                    <xdr:col>10</xdr:col>
                    <xdr:colOff>628650</xdr:colOff>
                    <xdr:row>58</xdr:row>
                    <xdr:rowOff>0</xdr:rowOff>
                  </to>
                </anchor>
              </controlPr>
            </control>
          </mc:Choice>
        </mc:AlternateContent>
        <mc:AlternateContent xmlns:mc="http://schemas.openxmlformats.org/markup-compatibility/2006">
          <mc:Choice Requires="x14">
            <control shapeId="4133" r:id="rId24" name="Check Box 37">
              <controlPr defaultSize="0" autoFill="0" autoLine="0" autoPict="0">
                <anchor moveWithCells="1">
                  <from>
                    <xdr:col>3</xdr:col>
                    <xdr:colOff>1171575</xdr:colOff>
                    <xdr:row>11</xdr:row>
                    <xdr:rowOff>438150</xdr:rowOff>
                  </from>
                  <to>
                    <xdr:col>5</xdr:col>
                    <xdr:colOff>114300</xdr:colOff>
                    <xdr:row>13</xdr:row>
                    <xdr:rowOff>9525</xdr:rowOff>
                  </to>
                </anchor>
              </controlPr>
            </control>
          </mc:Choice>
        </mc:AlternateContent>
        <mc:AlternateContent xmlns:mc="http://schemas.openxmlformats.org/markup-compatibility/2006">
          <mc:Choice Requires="x14">
            <control shapeId="4134" r:id="rId25" name="Check Box 38">
              <controlPr defaultSize="0" autoFill="0" autoLine="0" autoPict="0">
                <anchor moveWithCells="1">
                  <from>
                    <xdr:col>3</xdr:col>
                    <xdr:colOff>1171575</xdr:colOff>
                    <xdr:row>32</xdr:row>
                    <xdr:rowOff>190500</xdr:rowOff>
                  </from>
                  <to>
                    <xdr:col>5</xdr:col>
                    <xdr:colOff>114300</xdr:colOff>
                    <xdr:row>34</xdr:row>
                    <xdr:rowOff>9525</xdr:rowOff>
                  </to>
                </anchor>
              </controlPr>
            </control>
          </mc:Choice>
        </mc:AlternateContent>
        <mc:AlternateContent xmlns:mc="http://schemas.openxmlformats.org/markup-compatibility/2006">
          <mc:Choice Requires="x14">
            <control shapeId="4135" r:id="rId26" name="Check Box 39">
              <controlPr defaultSize="0" autoFill="0" autoLine="0" autoPict="0">
                <anchor moveWithCells="1">
                  <from>
                    <xdr:col>3</xdr:col>
                    <xdr:colOff>1171575</xdr:colOff>
                    <xdr:row>12</xdr:row>
                    <xdr:rowOff>180975</xdr:rowOff>
                  </from>
                  <to>
                    <xdr:col>5</xdr:col>
                    <xdr:colOff>114300</xdr:colOff>
                    <xdr:row>14</xdr:row>
                    <xdr:rowOff>0</xdr:rowOff>
                  </to>
                </anchor>
              </controlPr>
            </control>
          </mc:Choice>
        </mc:AlternateContent>
        <mc:AlternateContent xmlns:mc="http://schemas.openxmlformats.org/markup-compatibility/2006">
          <mc:Choice Requires="x14">
            <control shapeId="4136" r:id="rId27" name="Check Box 40">
              <controlPr defaultSize="0" autoFill="0" autoLine="0" autoPict="0">
                <anchor moveWithCells="1">
                  <from>
                    <xdr:col>3</xdr:col>
                    <xdr:colOff>1171575</xdr:colOff>
                    <xdr:row>13</xdr:row>
                    <xdr:rowOff>180975</xdr:rowOff>
                  </from>
                  <to>
                    <xdr:col>5</xdr:col>
                    <xdr:colOff>114300</xdr:colOff>
                    <xdr:row>15</xdr:row>
                    <xdr:rowOff>0</xdr:rowOff>
                  </to>
                </anchor>
              </controlPr>
            </control>
          </mc:Choice>
        </mc:AlternateContent>
        <mc:AlternateContent xmlns:mc="http://schemas.openxmlformats.org/markup-compatibility/2006">
          <mc:Choice Requires="x14">
            <control shapeId="4137" r:id="rId28" name="Check Box 41">
              <controlPr defaultSize="0" autoFill="0" autoLine="0" autoPict="0">
                <anchor moveWithCells="1">
                  <from>
                    <xdr:col>3</xdr:col>
                    <xdr:colOff>1171575</xdr:colOff>
                    <xdr:row>14</xdr:row>
                    <xdr:rowOff>180975</xdr:rowOff>
                  </from>
                  <to>
                    <xdr:col>5</xdr:col>
                    <xdr:colOff>114300</xdr:colOff>
                    <xdr:row>16</xdr:row>
                    <xdr:rowOff>0</xdr:rowOff>
                  </to>
                </anchor>
              </controlPr>
            </control>
          </mc:Choice>
        </mc:AlternateContent>
        <mc:AlternateContent xmlns:mc="http://schemas.openxmlformats.org/markup-compatibility/2006">
          <mc:Choice Requires="x14">
            <control shapeId="4138" r:id="rId29" name="Check Box 42">
              <controlPr defaultSize="0" autoFill="0" autoLine="0" autoPict="0">
                <anchor moveWithCells="1">
                  <from>
                    <xdr:col>3</xdr:col>
                    <xdr:colOff>1171575</xdr:colOff>
                    <xdr:row>16</xdr:row>
                    <xdr:rowOff>0</xdr:rowOff>
                  </from>
                  <to>
                    <xdr:col>5</xdr:col>
                    <xdr:colOff>114300</xdr:colOff>
                    <xdr:row>17</xdr:row>
                    <xdr:rowOff>19050</xdr:rowOff>
                  </to>
                </anchor>
              </controlPr>
            </control>
          </mc:Choice>
        </mc:AlternateContent>
        <mc:AlternateContent xmlns:mc="http://schemas.openxmlformats.org/markup-compatibility/2006">
          <mc:Choice Requires="x14">
            <control shapeId="4139" r:id="rId30" name="Check Box 43">
              <controlPr defaultSize="0" autoFill="0" autoLine="0" autoPict="0">
                <anchor moveWithCells="1">
                  <from>
                    <xdr:col>3</xdr:col>
                    <xdr:colOff>1171575</xdr:colOff>
                    <xdr:row>16</xdr:row>
                    <xdr:rowOff>0</xdr:rowOff>
                  </from>
                  <to>
                    <xdr:col>5</xdr:col>
                    <xdr:colOff>114300</xdr:colOff>
                    <xdr:row>17</xdr:row>
                    <xdr:rowOff>9525</xdr:rowOff>
                  </to>
                </anchor>
              </controlPr>
            </control>
          </mc:Choice>
        </mc:AlternateContent>
        <mc:AlternateContent xmlns:mc="http://schemas.openxmlformats.org/markup-compatibility/2006">
          <mc:Choice Requires="x14">
            <control shapeId="4140" r:id="rId31" name="Check Box 44">
              <controlPr defaultSize="0" autoFill="0" autoLine="0" autoPict="0">
                <anchor moveWithCells="1">
                  <from>
                    <xdr:col>3</xdr:col>
                    <xdr:colOff>1171575</xdr:colOff>
                    <xdr:row>30</xdr:row>
                    <xdr:rowOff>400050</xdr:rowOff>
                  </from>
                  <to>
                    <xdr:col>5</xdr:col>
                    <xdr:colOff>114300</xdr:colOff>
                    <xdr:row>32</xdr:row>
                    <xdr:rowOff>9525</xdr:rowOff>
                  </to>
                </anchor>
              </controlPr>
            </control>
          </mc:Choice>
        </mc:AlternateContent>
        <mc:AlternateContent xmlns:mc="http://schemas.openxmlformats.org/markup-compatibility/2006">
          <mc:Choice Requires="x14">
            <control shapeId="4141" r:id="rId32" name="Check Box 45">
              <controlPr defaultSize="0" autoFill="0" autoLine="0" autoPict="0">
                <anchor moveWithCells="1">
                  <from>
                    <xdr:col>3</xdr:col>
                    <xdr:colOff>1171575</xdr:colOff>
                    <xdr:row>31</xdr:row>
                    <xdr:rowOff>180975</xdr:rowOff>
                  </from>
                  <to>
                    <xdr:col>5</xdr:col>
                    <xdr:colOff>114300</xdr:colOff>
                    <xdr:row>33</xdr:row>
                    <xdr:rowOff>0</xdr:rowOff>
                  </to>
                </anchor>
              </controlPr>
            </control>
          </mc:Choice>
        </mc:AlternateContent>
        <mc:AlternateContent xmlns:mc="http://schemas.openxmlformats.org/markup-compatibility/2006">
          <mc:Choice Requires="x14">
            <control shapeId="4145" r:id="rId33" name="Check Box 49">
              <controlPr defaultSize="0" autoFill="0" autoLine="0" autoPict="0">
                <anchor moveWithCells="1">
                  <from>
                    <xdr:col>10</xdr:col>
                    <xdr:colOff>228600</xdr:colOff>
                    <xdr:row>17</xdr:row>
                    <xdr:rowOff>0</xdr:rowOff>
                  </from>
                  <to>
                    <xdr:col>10</xdr:col>
                    <xdr:colOff>533400</xdr:colOff>
                    <xdr:row>18</xdr:row>
                    <xdr:rowOff>9525</xdr:rowOff>
                  </to>
                </anchor>
              </controlPr>
            </control>
          </mc:Choice>
        </mc:AlternateContent>
        <mc:AlternateContent xmlns:mc="http://schemas.openxmlformats.org/markup-compatibility/2006">
          <mc:Choice Requires="x14">
            <control shapeId="4146" r:id="rId34" name="Check Box 50">
              <controlPr defaultSize="0" autoFill="0" autoLine="0" autoPict="0">
                <anchor moveWithCells="1">
                  <from>
                    <xdr:col>10</xdr:col>
                    <xdr:colOff>228600</xdr:colOff>
                    <xdr:row>17</xdr:row>
                    <xdr:rowOff>0</xdr:rowOff>
                  </from>
                  <to>
                    <xdr:col>10</xdr:col>
                    <xdr:colOff>533400</xdr:colOff>
                    <xdr:row>18</xdr:row>
                    <xdr:rowOff>9525</xdr:rowOff>
                  </to>
                </anchor>
              </controlPr>
            </control>
          </mc:Choice>
        </mc:AlternateContent>
        <mc:AlternateContent xmlns:mc="http://schemas.openxmlformats.org/markup-compatibility/2006">
          <mc:Choice Requires="x14">
            <control shapeId="4147" r:id="rId35" name="Check Box 51">
              <controlPr defaultSize="0" autoFill="0" autoLine="0" autoPict="0">
                <anchor moveWithCells="1">
                  <from>
                    <xdr:col>10</xdr:col>
                    <xdr:colOff>228600</xdr:colOff>
                    <xdr:row>18</xdr:row>
                    <xdr:rowOff>0</xdr:rowOff>
                  </from>
                  <to>
                    <xdr:col>10</xdr:col>
                    <xdr:colOff>533400</xdr:colOff>
                    <xdr:row>19</xdr:row>
                    <xdr:rowOff>9525</xdr:rowOff>
                  </to>
                </anchor>
              </controlPr>
            </control>
          </mc:Choice>
        </mc:AlternateContent>
        <mc:AlternateContent xmlns:mc="http://schemas.openxmlformats.org/markup-compatibility/2006">
          <mc:Choice Requires="x14">
            <control shapeId="4148" r:id="rId36" name="Check Box 52">
              <controlPr defaultSize="0" autoFill="0" autoLine="0" autoPict="0">
                <anchor moveWithCells="1">
                  <from>
                    <xdr:col>10</xdr:col>
                    <xdr:colOff>228600</xdr:colOff>
                    <xdr:row>18</xdr:row>
                    <xdr:rowOff>0</xdr:rowOff>
                  </from>
                  <to>
                    <xdr:col>10</xdr:col>
                    <xdr:colOff>533400</xdr:colOff>
                    <xdr:row>19</xdr:row>
                    <xdr:rowOff>9525</xdr:rowOff>
                  </to>
                </anchor>
              </controlPr>
            </control>
          </mc:Choice>
        </mc:AlternateContent>
        <mc:AlternateContent xmlns:mc="http://schemas.openxmlformats.org/markup-compatibility/2006">
          <mc:Choice Requires="x14">
            <control shapeId="4150" r:id="rId37" name="Check Box 54">
              <controlPr defaultSize="0" autoFill="0" autoLine="0" autoPict="0">
                <anchor moveWithCells="1">
                  <from>
                    <xdr:col>10</xdr:col>
                    <xdr:colOff>228600</xdr:colOff>
                    <xdr:row>14</xdr:row>
                    <xdr:rowOff>180975</xdr:rowOff>
                  </from>
                  <to>
                    <xdr:col>10</xdr:col>
                    <xdr:colOff>619125</xdr:colOff>
                    <xdr:row>16</xdr:row>
                    <xdr:rowOff>0</xdr:rowOff>
                  </to>
                </anchor>
              </controlPr>
            </control>
          </mc:Choice>
        </mc:AlternateContent>
        <mc:AlternateContent xmlns:mc="http://schemas.openxmlformats.org/markup-compatibility/2006">
          <mc:Choice Requires="x14">
            <control shapeId="4151" r:id="rId38" name="Check Box 55">
              <controlPr defaultSize="0" autoFill="0" autoLine="0" autoPict="0">
                <anchor moveWithCells="1">
                  <from>
                    <xdr:col>10</xdr:col>
                    <xdr:colOff>228600</xdr:colOff>
                    <xdr:row>15</xdr:row>
                    <xdr:rowOff>180975</xdr:rowOff>
                  </from>
                  <to>
                    <xdr:col>10</xdr:col>
                    <xdr:colOff>619125</xdr:colOff>
                    <xdr:row>17</xdr:row>
                    <xdr:rowOff>0</xdr:rowOff>
                  </to>
                </anchor>
              </controlPr>
            </control>
          </mc:Choice>
        </mc:AlternateContent>
        <mc:AlternateContent xmlns:mc="http://schemas.openxmlformats.org/markup-compatibility/2006">
          <mc:Choice Requires="x14">
            <control shapeId="4152" r:id="rId39" name="Check Box 56">
              <controlPr defaultSize="0" autoFill="0" autoLine="0" autoPict="0">
                <anchor moveWithCells="1">
                  <from>
                    <xdr:col>3</xdr:col>
                    <xdr:colOff>1171575</xdr:colOff>
                    <xdr:row>14</xdr:row>
                    <xdr:rowOff>180975</xdr:rowOff>
                  </from>
                  <to>
                    <xdr:col>5</xdr:col>
                    <xdr:colOff>114300</xdr:colOff>
                    <xdr:row>16</xdr:row>
                    <xdr:rowOff>0</xdr:rowOff>
                  </to>
                </anchor>
              </controlPr>
            </control>
          </mc:Choice>
        </mc:AlternateContent>
        <mc:AlternateContent xmlns:mc="http://schemas.openxmlformats.org/markup-compatibility/2006">
          <mc:Choice Requires="x14">
            <control shapeId="4153" r:id="rId40" name="Check Box 57">
              <controlPr defaultSize="0" autoFill="0" autoLine="0" autoPict="0">
                <anchor moveWithCells="1">
                  <from>
                    <xdr:col>3</xdr:col>
                    <xdr:colOff>1171575</xdr:colOff>
                    <xdr:row>15</xdr:row>
                    <xdr:rowOff>180975</xdr:rowOff>
                  </from>
                  <to>
                    <xdr:col>5</xdr:col>
                    <xdr:colOff>114300</xdr:colOff>
                    <xdr:row>17</xdr:row>
                    <xdr:rowOff>0</xdr:rowOff>
                  </to>
                </anchor>
              </controlPr>
            </control>
          </mc:Choice>
        </mc:AlternateContent>
        <mc:AlternateContent xmlns:mc="http://schemas.openxmlformats.org/markup-compatibility/2006">
          <mc:Choice Requires="x14">
            <control shapeId="4154" r:id="rId41" name="Check Box 58">
              <controlPr defaultSize="0" autoFill="0" autoLine="0" autoPict="0">
                <anchor moveWithCells="1">
                  <from>
                    <xdr:col>10</xdr:col>
                    <xdr:colOff>228600</xdr:colOff>
                    <xdr:row>16</xdr:row>
                    <xdr:rowOff>180975</xdr:rowOff>
                  </from>
                  <to>
                    <xdr:col>10</xdr:col>
                    <xdr:colOff>619125</xdr:colOff>
                    <xdr:row>18</xdr:row>
                    <xdr:rowOff>0</xdr:rowOff>
                  </to>
                </anchor>
              </controlPr>
            </control>
          </mc:Choice>
        </mc:AlternateContent>
        <mc:AlternateContent xmlns:mc="http://schemas.openxmlformats.org/markup-compatibility/2006">
          <mc:Choice Requires="x14">
            <control shapeId="4155" r:id="rId42" name="Check Box 59">
              <controlPr defaultSize="0" autoFill="0" autoLine="0" autoPict="0">
                <anchor moveWithCells="1">
                  <from>
                    <xdr:col>10</xdr:col>
                    <xdr:colOff>228600</xdr:colOff>
                    <xdr:row>17</xdr:row>
                    <xdr:rowOff>180975</xdr:rowOff>
                  </from>
                  <to>
                    <xdr:col>10</xdr:col>
                    <xdr:colOff>619125</xdr:colOff>
                    <xdr:row>19</xdr:row>
                    <xdr:rowOff>0</xdr:rowOff>
                  </to>
                </anchor>
              </controlPr>
            </control>
          </mc:Choice>
        </mc:AlternateContent>
        <mc:AlternateContent xmlns:mc="http://schemas.openxmlformats.org/markup-compatibility/2006">
          <mc:Choice Requires="x14">
            <control shapeId="4156" r:id="rId43" name="Check Box 60">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57" r:id="rId44" name="Check Box 61">
              <controlPr defaultSize="0" autoFill="0" autoLine="0" autoPict="0">
                <anchor moveWithCells="1">
                  <from>
                    <xdr:col>3</xdr:col>
                    <xdr:colOff>1171575</xdr:colOff>
                    <xdr:row>17</xdr:row>
                    <xdr:rowOff>180975</xdr:rowOff>
                  </from>
                  <to>
                    <xdr:col>5</xdr:col>
                    <xdr:colOff>114300</xdr:colOff>
                    <xdr:row>19</xdr:row>
                    <xdr:rowOff>0</xdr:rowOff>
                  </to>
                </anchor>
              </controlPr>
            </control>
          </mc:Choice>
        </mc:AlternateContent>
        <mc:AlternateContent xmlns:mc="http://schemas.openxmlformats.org/markup-compatibility/2006">
          <mc:Choice Requires="x14">
            <control shapeId="4158" r:id="rId45" name="Check Box 62">
              <controlPr defaultSize="0" autoFill="0" autoLine="0" autoPict="0">
                <anchor moveWithCells="1">
                  <from>
                    <xdr:col>10</xdr:col>
                    <xdr:colOff>228600</xdr:colOff>
                    <xdr:row>17</xdr:row>
                    <xdr:rowOff>180975</xdr:rowOff>
                  </from>
                  <to>
                    <xdr:col>10</xdr:col>
                    <xdr:colOff>619125</xdr:colOff>
                    <xdr:row>19</xdr:row>
                    <xdr:rowOff>0</xdr:rowOff>
                  </to>
                </anchor>
              </controlPr>
            </control>
          </mc:Choice>
        </mc:AlternateContent>
        <mc:AlternateContent xmlns:mc="http://schemas.openxmlformats.org/markup-compatibility/2006">
          <mc:Choice Requires="x14">
            <control shapeId="4159" r:id="rId46" name="Check Box 63">
              <controlPr defaultSize="0" autoFill="0" autoLine="0" autoPict="0">
                <anchor moveWithCells="1">
                  <from>
                    <xdr:col>3</xdr:col>
                    <xdr:colOff>1171575</xdr:colOff>
                    <xdr:row>17</xdr:row>
                    <xdr:rowOff>180975</xdr:rowOff>
                  </from>
                  <to>
                    <xdr:col>5</xdr:col>
                    <xdr:colOff>114300</xdr:colOff>
                    <xdr:row>19</xdr:row>
                    <xdr:rowOff>0</xdr:rowOff>
                  </to>
                </anchor>
              </controlPr>
            </control>
          </mc:Choice>
        </mc:AlternateContent>
        <mc:AlternateContent xmlns:mc="http://schemas.openxmlformats.org/markup-compatibility/2006">
          <mc:Choice Requires="x14">
            <control shapeId="4160" r:id="rId47" name="Check Box 64">
              <controlPr defaultSize="0" autoFill="0" autoLine="0" autoPict="0">
                <anchor moveWithCells="1">
                  <from>
                    <xdr:col>10</xdr:col>
                    <xdr:colOff>228600</xdr:colOff>
                    <xdr:row>16</xdr:row>
                    <xdr:rowOff>180975</xdr:rowOff>
                  </from>
                  <to>
                    <xdr:col>10</xdr:col>
                    <xdr:colOff>619125</xdr:colOff>
                    <xdr:row>18</xdr:row>
                    <xdr:rowOff>0</xdr:rowOff>
                  </to>
                </anchor>
              </controlPr>
            </control>
          </mc:Choice>
        </mc:AlternateContent>
        <mc:AlternateContent xmlns:mc="http://schemas.openxmlformats.org/markup-compatibility/2006">
          <mc:Choice Requires="x14">
            <control shapeId="4161" r:id="rId48" name="Check Box 65">
              <controlPr defaultSize="0" autoFill="0" autoLine="0" autoPict="0">
                <anchor moveWithCells="1">
                  <from>
                    <xdr:col>10</xdr:col>
                    <xdr:colOff>228600</xdr:colOff>
                    <xdr:row>17</xdr:row>
                    <xdr:rowOff>180975</xdr:rowOff>
                  </from>
                  <to>
                    <xdr:col>10</xdr:col>
                    <xdr:colOff>619125</xdr:colOff>
                    <xdr:row>19</xdr:row>
                    <xdr:rowOff>0</xdr:rowOff>
                  </to>
                </anchor>
              </controlPr>
            </control>
          </mc:Choice>
        </mc:AlternateContent>
        <mc:AlternateContent xmlns:mc="http://schemas.openxmlformats.org/markup-compatibility/2006">
          <mc:Choice Requires="x14">
            <control shapeId="4162" r:id="rId49" name="Check Box 66">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63" r:id="rId50" name="Check Box 67">
              <controlPr defaultSize="0" autoFill="0" autoLine="0" autoPict="0">
                <anchor moveWithCells="1">
                  <from>
                    <xdr:col>3</xdr:col>
                    <xdr:colOff>1171575</xdr:colOff>
                    <xdr:row>17</xdr:row>
                    <xdr:rowOff>180975</xdr:rowOff>
                  </from>
                  <to>
                    <xdr:col>5</xdr:col>
                    <xdr:colOff>114300</xdr:colOff>
                    <xdr:row>19</xdr:row>
                    <xdr:rowOff>0</xdr:rowOff>
                  </to>
                </anchor>
              </controlPr>
            </control>
          </mc:Choice>
        </mc:AlternateContent>
        <mc:AlternateContent xmlns:mc="http://schemas.openxmlformats.org/markup-compatibility/2006">
          <mc:Choice Requires="x14">
            <control shapeId="4164" r:id="rId51" name="Check Box 68">
              <controlPr defaultSize="0" autoFill="0" autoLine="0" autoPict="0">
                <anchor moveWithCells="1">
                  <from>
                    <xdr:col>10</xdr:col>
                    <xdr:colOff>228600</xdr:colOff>
                    <xdr:row>17</xdr:row>
                    <xdr:rowOff>180975</xdr:rowOff>
                  </from>
                  <to>
                    <xdr:col>10</xdr:col>
                    <xdr:colOff>619125</xdr:colOff>
                    <xdr:row>19</xdr:row>
                    <xdr:rowOff>0</xdr:rowOff>
                  </to>
                </anchor>
              </controlPr>
            </control>
          </mc:Choice>
        </mc:AlternateContent>
        <mc:AlternateContent xmlns:mc="http://schemas.openxmlformats.org/markup-compatibility/2006">
          <mc:Choice Requires="x14">
            <control shapeId="4165" r:id="rId52" name="Check Box 69">
              <controlPr defaultSize="0" autoFill="0" autoLine="0" autoPict="0">
                <anchor moveWithCells="1">
                  <from>
                    <xdr:col>3</xdr:col>
                    <xdr:colOff>1171575</xdr:colOff>
                    <xdr:row>17</xdr:row>
                    <xdr:rowOff>180975</xdr:rowOff>
                  </from>
                  <to>
                    <xdr:col>5</xdr:col>
                    <xdr:colOff>114300</xdr:colOff>
                    <xdr:row>19</xdr:row>
                    <xdr:rowOff>0</xdr:rowOff>
                  </to>
                </anchor>
              </controlPr>
            </control>
          </mc:Choice>
        </mc:AlternateContent>
        <mc:AlternateContent xmlns:mc="http://schemas.openxmlformats.org/markup-compatibility/2006">
          <mc:Choice Requires="x14">
            <control shapeId="4166" r:id="rId53" name="Check Box 70">
              <controlPr defaultSize="0" autoFill="0" autoLine="0" autoPict="0">
                <anchor moveWithCells="1">
                  <from>
                    <xdr:col>10</xdr:col>
                    <xdr:colOff>228600</xdr:colOff>
                    <xdr:row>13</xdr:row>
                    <xdr:rowOff>180975</xdr:rowOff>
                  </from>
                  <to>
                    <xdr:col>10</xdr:col>
                    <xdr:colOff>619125</xdr:colOff>
                    <xdr:row>15</xdr:row>
                    <xdr:rowOff>0</xdr:rowOff>
                  </to>
                </anchor>
              </controlPr>
            </control>
          </mc:Choice>
        </mc:AlternateContent>
        <mc:AlternateContent xmlns:mc="http://schemas.openxmlformats.org/markup-compatibility/2006">
          <mc:Choice Requires="x14">
            <control shapeId="4167" r:id="rId54" name="Check Box 71">
              <controlPr defaultSize="0" autoFill="0" autoLine="0" autoPict="0">
                <anchor moveWithCells="1">
                  <from>
                    <xdr:col>10</xdr:col>
                    <xdr:colOff>228600</xdr:colOff>
                    <xdr:row>14</xdr:row>
                    <xdr:rowOff>180975</xdr:rowOff>
                  </from>
                  <to>
                    <xdr:col>10</xdr:col>
                    <xdr:colOff>619125</xdr:colOff>
                    <xdr:row>16</xdr:row>
                    <xdr:rowOff>0</xdr:rowOff>
                  </to>
                </anchor>
              </controlPr>
            </control>
          </mc:Choice>
        </mc:AlternateContent>
        <mc:AlternateContent xmlns:mc="http://schemas.openxmlformats.org/markup-compatibility/2006">
          <mc:Choice Requires="x14">
            <control shapeId="4168" r:id="rId55" name="Check Box 72">
              <controlPr defaultSize="0" autoFill="0" autoLine="0" autoPict="0">
                <anchor moveWithCells="1">
                  <from>
                    <xdr:col>3</xdr:col>
                    <xdr:colOff>1171575</xdr:colOff>
                    <xdr:row>13</xdr:row>
                    <xdr:rowOff>180975</xdr:rowOff>
                  </from>
                  <to>
                    <xdr:col>5</xdr:col>
                    <xdr:colOff>114300</xdr:colOff>
                    <xdr:row>15</xdr:row>
                    <xdr:rowOff>0</xdr:rowOff>
                  </to>
                </anchor>
              </controlPr>
            </control>
          </mc:Choice>
        </mc:AlternateContent>
        <mc:AlternateContent xmlns:mc="http://schemas.openxmlformats.org/markup-compatibility/2006">
          <mc:Choice Requires="x14">
            <control shapeId="4169" r:id="rId56" name="Check Box 73">
              <controlPr defaultSize="0" autoFill="0" autoLine="0" autoPict="0">
                <anchor moveWithCells="1">
                  <from>
                    <xdr:col>3</xdr:col>
                    <xdr:colOff>1171575</xdr:colOff>
                    <xdr:row>14</xdr:row>
                    <xdr:rowOff>180975</xdr:rowOff>
                  </from>
                  <to>
                    <xdr:col>5</xdr:col>
                    <xdr:colOff>114300</xdr:colOff>
                    <xdr:row>16</xdr:row>
                    <xdr:rowOff>0</xdr:rowOff>
                  </to>
                </anchor>
              </controlPr>
            </control>
          </mc:Choice>
        </mc:AlternateContent>
        <mc:AlternateContent xmlns:mc="http://schemas.openxmlformats.org/markup-compatibility/2006">
          <mc:Choice Requires="x14">
            <control shapeId="4170" r:id="rId57" name="Check Box 74">
              <controlPr defaultSize="0" autoFill="0" autoLine="0" autoPict="0">
                <anchor moveWithCells="1">
                  <from>
                    <xdr:col>10</xdr:col>
                    <xdr:colOff>228600</xdr:colOff>
                    <xdr:row>15</xdr:row>
                    <xdr:rowOff>180975</xdr:rowOff>
                  </from>
                  <to>
                    <xdr:col>10</xdr:col>
                    <xdr:colOff>619125</xdr:colOff>
                    <xdr:row>17</xdr:row>
                    <xdr:rowOff>0</xdr:rowOff>
                  </to>
                </anchor>
              </controlPr>
            </control>
          </mc:Choice>
        </mc:AlternateContent>
        <mc:AlternateContent xmlns:mc="http://schemas.openxmlformats.org/markup-compatibility/2006">
          <mc:Choice Requires="x14">
            <control shapeId="4171" r:id="rId58" name="Check Box 75">
              <controlPr defaultSize="0" autoFill="0" autoLine="0" autoPict="0">
                <anchor moveWithCells="1">
                  <from>
                    <xdr:col>10</xdr:col>
                    <xdr:colOff>228600</xdr:colOff>
                    <xdr:row>16</xdr:row>
                    <xdr:rowOff>180975</xdr:rowOff>
                  </from>
                  <to>
                    <xdr:col>10</xdr:col>
                    <xdr:colOff>619125</xdr:colOff>
                    <xdr:row>18</xdr:row>
                    <xdr:rowOff>0</xdr:rowOff>
                  </to>
                </anchor>
              </controlPr>
            </control>
          </mc:Choice>
        </mc:AlternateContent>
        <mc:AlternateContent xmlns:mc="http://schemas.openxmlformats.org/markup-compatibility/2006">
          <mc:Choice Requires="x14">
            <control shapeId="4172" r:id="rId59" name="Check Box 76">
              <controlPr defaultSize="0" autoFill="0" autoLine="0" autoPict="0">
                <anchor moveWithCells="1">
                  <from>
                    <xdr:col>3</xdr:col>
                    <xdr:colOff>1171575</xdr:colOff>
                    <xdr:row>15</xdr:row>
                    <xdr:rowOff>180975</xdr:rowOff>
                  </from>
                  <to>
                    <xdr:col>5</xdr:col>
                    <xdr:colOff>114300</xdr:colOff>
                    <xdr:row>17</xdr:row>
                    <xdr:rowOff>0</xdr:rowOff>
                  </to>
                </anchor>
              </controlPr>
            </control>
          </mc:Choice>
        </mc:AlternateContent>
        <mc:AlternateContent xmlns:mc="http://schemas.openxmlformats.org/markup-compatibility/2006">
          <mc:Choice Requires="x14">
            <control shapeId="4173" r:id="rId60" name="Check Box 77">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74" r:id="rId61" name="Check Box 78">
              <controlPr defaultSize="0" autoFill="0" autoLine="0" autoPict="0">
                <anchor moveWithCells="1">
                  <from>
                    <xdr:col>10</xdr:col>
                    <xdr:colOff>228600</xdr:colOff>
                    <xdr:row>16</xdr:row>
                    <xdr:rowOff>180975</xdr:rowOff>
                  </from>
                  <to>
                    <xdr:col>10</xdr:col>
                    <xdr:colOff>619125</xdr:colOff>
                    <xdr:row>18</xdr:row>
                    <xdr:rowOff>0</xdr:rowOff>
                  </to>
                </anchor>
              </controlPr>
            </control>
          </mc:Choice>
        </mc:AlternateContent>
        <mc:AlternateContent xmlns:mc="http://schemas.openxmlformats.org/markup-compatibility/2006">
          <mc:Choice Requires="x14">
            <control shapeId="4175" r:id="rId62" name="Check Box 79">
              <controlPr defaultSize="0" autoFill="0" autoLine="0" autoPict="0">
                <anchor moveWithCells="1">
                  <from>
                    <xdr:col>3</xdr:col>
                    <xdr:colOff>1171575</xdr:colOff>
                    <xdr:row>16</xdr:row>
                    <xdr:rowOff>180975</xdr:rowOff>
                  </from>
                  <to>
                    <xdr:col>5</xdr:col>
                    <xdr:colOff>114300</xdr:colOff>
                    <xdr:row>18</xdr:row>
                    <xdr:rowOff>0</xdr:rowOff>
                  </to>
                </anchor>
              </controlPr>
            </control>
          </mc:Choice>
        </mc:AlternateContent>
        <mc:AlternateContent xmlns:mc="http://schemas.openxmlformats.org/markup-compatibility/2006">
          <mc:Choice Requires="x14">
            <control shapeId="4176" r:id="rId63" name="Check Box 80">
              <controlPr defaultSize="0" autoFill="0" autoLine="0" autoPict="0">
                <anchor moveWithCells="1">
                  <from>
                    <xdr:col>10</xdr:col>
                    <xdr:colOff>228600</xdr:colOff>
                    <xdr:row>18</xdr:row>
                    <xdr:rowOff>180975</xdr:rowOff>
                  </from>
                  <to>
                    <xdr:col>10</xdr:col>
                    <xdr:colOff>619125</xdr:colOff>
                    <xdr:row>20</xdr:row>
                    <xdr:rowOff>0</xdr:rowOff>
                  </to>
                </anchor>
              </controlPr>
            </control>
          </mc:Choice>
        </mc:AlternateContent>
        <mc:AlternateContent xmlns:mc="http://schemas.openxmlformats.org/markup-compatibility/2006">
          <mc:Choice Requires="x14">
            <control shapeId="4177" r:id="rId64" name="Check Box 81">
              <controlPr defaultSize="0" autoFill="0" autoLine="0" autoPict="0">
                <anchor moveWithCells="1">
                  <from>
                    <xdr:col>10</xdr:col>
                    <xdr:colOff>228600</xdr:colOff>
                    <xdr:row>19</xdr:row>
                    <xdr:rowOff>180975</xdr:rowOff>
                  </from>
                  <to>
                    <xdr:col>10</xdr:col>
                    <xdr:colOff>619125</xdr:colOff>
                    <xdr:row>21</xdr:row>
                    <xdr:rowOff>0</xdr:rowOff>
                  </to>
                </anchor>
              </controlPr>
            </control>
          </mc:Choice>
        </mc:AlternateContent>
        <mc:AlternateContent xmlns:mc="http://schemas.openxmlformats.org/markup-compatibility/2006">
          <mc:Choice Requires="x14">
            <control shapeId="4178" r:id="rId65" name="Check Box 82">
              <controlPr defaultSize="0" autoFill="0" autoLine="0" autoPict="0">
                <anchor moveWithCells="1">
                  <from>
                    <xdr:col>3</xdr:col>
                    <xdr:colOff>1171575</xdr:colOff>
                    <xdr:row>18</xdr:row>
                    <xdr:rowOff>180975</xdr:rowOff>
                  </from>
                  <to>
                    <xdr:col>5</xdr:col>
                    <xdr:colOff>114300</xdr:colOff>
                    <xdr:row>20</xdr:row>
                    <xdr:rowOff>0</xdr:rowOff>
                  </to>
                </anchor>
              </controlPr>
            </control>
          </mc:Choice>
        </mc:AlternateContent>
        <mc:AlternateContent xmlns:mc="http://schemas.openxmlformats.org/markup-compatibility/2006">
          <mc:Choice Requires="x14">
            <control shapeId="4179" r:id="rId66" name="Check Box 83">
              <controlPr defaultSize="0" autoFill="0" autoLine="0" autoPict="0">
                <anchor moveWithCells="1">
                  <from>
                    <xdr:col>3</xdr:col>
                    <xdr:colOff>1171575</xdr:colOff>
                    <xdr:row>19</xdr:row>
                    <xdr:rowOff>180975</xdr:rowOff>
                  </from>
                  <to>
                    <xdr:col>5</xdr:col>
                    <xdr:colOff>114300</xdr:colOff>
                    <xdr:row>21</xdr:row>
                    <xdr:rowOff>0</xdr:rowOff>
                  </to>
                </anchor>
              </controlPr>
            </control>
          </mc:Choice>
        </mc:AlternateContent>
        <mc:AlternateContent xmlns:mc="http://schemas.openxmlformats.org/markup-compatibility/2006">
          <mc:Choice Requires="x14">
            <control shapeId="4180" r:id="rId67" name="Check Box 84">
              <controlPr defaultSize="0" autoFill="0" autoLine="0" autoPict="0">
                <anchor moveWithCells="1">
                  <from>
                    <xdr:col>10</xdr:col>
                    <xdr:colOff>228600</xdr:colOff>
                    <xdr:row>19</xdr:row>
                    <xdr:rowOff>180975</xdr:rowOff>
                  </from>
                  <to>
                    <xdr:col>10</xdr:col>
                    <xdr:colOff>619125</xdr:colOff>
                    <xdr:row>21</xdr:row>
                    <xdr:rowOff>0</xdr:rowOff>
                  </to>
                </anchor>
              </controlPr>
            </control>
          </mc:Choice>
        </mc:AlternateContent>
        <mc:AlternateContent xmlns:mc="http://schemas.openxmlformats.org/markup-compatibility/2006">
          <mc:Choice Requires="x14">
            <control shapeId="4181" r:id="rId68" name="Check Box 85">
              <controlPr defaultSize="0" autoFill="0" autoLine="0" autoPict="0">
                <anchor moveWithCells="1">
                  <from>
                    <xdr:col>3</xdr:col>
                    <xdr:colOff>1171575</xdr:colOff>
                    <xdr:row>19</xdr:row>
                    <xdr:rowOff>180975</xdr:rowOff>
                  </from>
                  <to>
                    <xdr:col>5</xdr:col>
                    <xdr:colOff>114300</xdr:colOff>
                    <xdr:row>21</xdr:row>
                    <xdr:rowOff>0</xdr:rowOff>
                  </to>
                </anchor>
              </controlPr>
            </control>
          </mc:Choice>
        </mc:AlternateContent>
        <mc:AlternateContent xmlns:mc="http://schemas.openxmlformats.org/markup-compatibility/2006">
          <mc:Choice Requires="x14">
            <control shapeId="4182" r:id="rId69" name="Check Box 86">
              <controlPr defaultSize="0" autoFill="0" autoLine="0" autoPict="0">
                <anchor moveWithCells="1">
                  <from>
                    <xdr:col>10</xdr:col>
                    <xdr:colOff>228600</xdr:colOff>
                    <xdr:row>17</xdr:row>
                    <xdr:rowOff>180975</xdr:rowOff>
                  </from>
                  <to>
                    <xdr:col>10</xdr:col>
                    <xdr:colOff>619125</xdr:colOff>
                    <xdr:row>19</xdr:row>
                    <xdr:rowOff>0</xdr:rowOff>
                  </to>
                </anchor>
              </controlPr>
            </control>
          </mc:Choice>
        </mc:AlternateContent>
        <mc:AlternateContent xmlns:mc="http://schemas.openxmlformats.org/markup-compatibility/2006">
          <mc:Choice Requires="x14">
            <control shapeId="4183" r:id="rId70" name="Check Box 87">
              <controlPr defaultSize="0" autoFill="0" autoLine="0" autoPict="0">
                <anchor moveWithCells="1">
                  <from>
                    <xdr:col>10</xdr:col>
                    <xdr:colOff>228600</xdr:colOff>
                    <xdr:row>18</xdr:row>
                    <xdr:rowOff>180975</xdr:rowOff>
                  </from>
                  <to>
                    <xdr:col>10</xdr:col>
                    <xdr:colOff>619125</xdr:colOff>
                    <xdr:row>20</xdr:row>
                    <xdr:rowOff>0</xdr:rowOff>
                  </to>
                </anchor>
              </controlPr>
            </control>
          </mc:Choice>
        </mc:AlternateContent>
        <mc:AlternateContent xmlns:mc="http://schemas.openxmlformats.org/markup-compatibility/2006">
          <mc:Choice Requires="x14">
            <control shapeId="4184" r:id="rId71" name="Check Box 88">
              <controlPr defaultSize="0" autoFill="0" autoLine="0" autoPict="0">
                <anchor moveWithCells="1">
                  <from>
                    <xdr:col>3</xdr:col>
                    <xdr:colOff>1171575</xdr:colOff>
                    <xdr:row>17</xdr:row>
                    <xdr:rowOff>180975</xdr:rowOff>
                  </from>
                  <to>
                    <xdr:col>5</xdr:col>
                    <xdr:colOff>114300</xdr:colOff>
                    <xdr:row>19</xdr:row>
                    <xdr:rowOff>0</xdr:rowOff>
                  </to>
                </anchor>
              </controlPr>
            </control>
          </mc:Choice>
        </mc:AlternateContent>
        <mc:AlternateContent xmlns:mc="http://schemas.openxmlformats.org/markup-compatibility/2006">
          <mc:Choice Requires="x14">
            <control shapeId="4185" r:id="rId72" name="Check Box 89">
              <controlPr defaultSize="0" autoFill="0" autoLine="0" autoPict="0">
                <anchor moveWithCells="1">
                  <from>
                    <xdr:col>3</xdr:col>
                    <xdr:colOff>1171575</xdr:colOff>
                    <xdr:row>18</xdr:row>
                    <xdr:rowOff>180975</xdr:rowOff>
                  </from>
                  <to>
                    <xdr:col>5</xdr:col>
                    <xdr:colOff>114300</xdr:colOff>
                    <xdr:row>20</xdr:row>
                    <xdr:rowOff>0</xdr:rowOff>
                  </to>
                </anchor>
              </controlPr>
            </control>
          </mc:Choice>
        </mc:AlternateContent>
        <mc:AlternateContent xmlns:mc="http://schemas.openxmlformats.org/markup-compatibility/2006">
          <mc:Choice Requires="x14">
            <control shapeId="4186" r:id="rId73" name="Check Box 90">
              <controlPr defaultSize="0" autoFill="0" autoLine="0" autoPict="0">
                <anchor moveWithCells="1">
                  <from>
                    <xdr:col>10</xdr:col>
                    <xdr:colOff>228600</xdr:colOff>
                    <xdr:row>18</xdr:row>
                    <xdr:rowOff>180975</xdr:rowOff>
                  </from>
                  <to>
                    <xdr:col>10</xdr:col>
                    <xdr:colOff>619125</xdr:colOff>
                    <xdr:row>20</xdr:row>
                    <xdr:rowOff>0</xdr:rowOff>
                  </to>
                </anchor>
              </controlPr>
            </control>
          </mc:Choice>
        </mc:AlternateContent>
        <mc:AlternateContent xmlns:mc="http://schemas.openxmlformats.org/markup-compatibility/2006">
          <mc:Choice Requires="x14">
            <control shapeId="4187" r:id="rId74" name="Check Box 91">
              <controlPr defaultSize="0" autoFill="0" autoLine="0" autoPict="0">
                <anchor moveWithCells="1">
                  <from>
                    <xdr:col>3</xdr:col>
                    <xdr:colOff>1171575</xdr:colOff>
                    <xdr:row>18</xdr:row>
                    <xdr:rowOff>180975</xdr:rowOff>
                  </from>
                  <to>
                    <xdr:col>5</xdr:col>
                    <xdr:colOff>114300</xdr:colOff>
                    <xdr:row>20</xdr:row>
                    <xdr:rowOff>0</xdr:rowOff>
                  </to>
                </anchor>
              </controlPr>
            </control>
          </mc:Choice>
        </mc:AlternateContent>
        <mc:AlternateContent xmlns:mc="http://schemas.openxmlformats.org/markup-compatibility/2006">
          <mc:Choice Requires="x14">
            <control shapeId="4188" r:id="rId75" name="Check Box 92">
              <controlPr defaultSize="0" autoFill="0" autoLine="0" autoPict="0">
                <anchor moveWithCells="1">
                  <from>
                    <xdr:col>10</xdr:col>
                    <xdr:colOff>228600</xdr:colOff>
                    <xdr:row>19</xdr:row>
                    <xdr:rowOff>180975</xdr:rowOff>
                  </from>
                  <to>
                    <xdr:col>10</xdr:col>
                    <xdr:colOff>619125</xdr:colOff>
                    <xdr:row>21</xdr:row>
                    <xdr:rowOff>0</xdr:rowOff>
                  </to>
                </anchor>
              </controlPr>
            </control>
          </mc:Choice>
        </mc:AlternateContent>
        <mc:AlternateContent xmlns:mc="http://schemas.openxmlformats.org/markup-compatibility/2006">
          <mc:Choice Requires="x14">
            <control shapeId="4189" r:id="rId76" name="Check Box 93">
              <controlPr defaultSize="0" autoFill="0" autoLine="0" autoPict="0">
                <anchor moveWithCells="1">
                  <from>
                    <xdr:col>10</xdr:col>
                    <xdr:colOff>228600</xdr:colOff>
                    <xdr:row>20</xdr:row>
                    <xdr:rowOff>180975</xdr:rowOff>
                  </from>
                  <to>
                    <xdr:col>10</xdr:col>
                    <xdr:colOff>619125</xdr:colOff>
                    <xdr:row>22</xdr:row>
                    <xdr:rowOff>0</xdr:rowOff>
                  </to>
                </anchor>
              </controlPr>
            </control>
          </mc:Choice>
        </mc:AlternateContent>
        <mc:AlternateContent xmlns:mc="http://schemas.openxmlformats.org/markup-compatibility/2006">
          <mc:Choice Requires="x14">
            <control shapeId="4190" r:id="rId77" name="Check Box 94">
              <controlPr defaultSize="0" autoFill="0" autoLine="0" autoPict="0">
                <anchor moveWithCells="1">
                  <from>
                    <xdr:col>3</xdr:col>
                    <xdr:colOff>1171575</xdr:colOff>
                    <xdr:row>19</xdr:row>
                    <xdr:rowOff>180975</xdr:rowOff>
                  </from>
                  <to>
                    <xdr:col>5</xdr:col>
                    <xdr:colOff>114300</xdr:colOff>
                    <xdr:row>21</xdr:row>
                    <xdr:rowOff>0</xdr:rowOff>
                  </to>
                </anchor>
              </controlPr>
            </control>
          </mc:Choice>
        </mc:AlternateContent>
        <mc:AlternateContent xmlns:mc="http://schemas.openxmlformats.org/markup-compatibility/2006">
          <mc:Choice Requires="x14">
            <control shapeId="4191" r:id="rId78" name="Check Box 95">
              <controlPr defaultSize="0" autoFill="0" autoLine="0" autoPict="0">
                <anchor moveWithCells="1">
                  <from>
                    <xdr:col>3</xdr:col>
                    <xdr:colOff>1171575</xdr:colOff>
                    <xdr:row>20</xdr:row>
                    <xdr:rowOff>180975</xdr:rowOff>
                  </from>
                  <to>
                    <xdr:col>5</xdr:col>
                    <xdr:colOff>114300</xdr:colOff>
                    <xdr:row>22</xdr:row>
                    <xdr:rowOff>0</xdr:rowOff>
                  </to>
                </anchor>
              </controlPr>
            </control>
          </mc:Choice>
        </mc:AlternateContent>
        <mc:AlternateContent xmlns:mc="http://schemas.openxmlformats.org/markup-compatibility/2006">
          <mc:Choice Requires="x14">
            <control shapeId="4192" r:id="rId79" name="Check Box 96">
              <controlPr defaultSize="0" autoFill="0" autoLine="0" autoPict="0">
                <anchor moveWithCells="1">
                  <from>
                    <xdr:col>10</xdr:col>
                    <xdr:colOff>228600</xdr:colOff>
                    <xdr:row>20</xdr:row>
                    <xdr:rowOff>180975</xdr:rowOff>
                  </from>
                  <to>
                    <xdr:col>10</xdr:col>
                    <xdr:colOff>619125</xdr:colOff>
                    <xdr:row>22</xdr:row>
                    <xdr:rowOff>0</xdr:rowOff>
                  </to>
                </anchor>
              </controlPr>
            </control>
          </mc:Choice>
        </mc:AlternateContent>
        <mc:AlternateContent xmlns:mc="http://schemas.openxmlformats.org/markup-compatibility/2006">
          <mc:Choice Requires="x14">
            <control shapeId="4193" r:id="rId80" name="Check Box 97">
              <controlPr defaultSize="0" autoFill="0" autoLine="0" autoPict="0">
                <anchor moveWithCells="1">
                  <from>
                    <xdr:col>3</xdr:col>
                    <xdr:colOff>1171575</xdr:colOff>
                    <xdr:row>20</xdr:row>
                    <xdr:rowOff>180975</xdr:rowOff>
                  </from>
                  <to>
                    <xdr:col>5</xdr:col>
                    <xdr:colOff>114300</xdr:colOff>
                    <xdr:row>22</xdr:row>
                    <xdr:rowOff>0</xdr:rowOff>
                  </to>
                </anchor>
              </controlPr>
            </control>
          </mc:Choice>
        </mc:AlternateContent>
        <mc:AlternateContent xmlns:mc="http://schemas.openxmlformats.org/markup-compatibility/2006">
          <mc:Choice Requires="x14">
            <control shapeId="4194" r:id="rId81" name="Check Box 98">
              <controlPr defaultSize="0" autoFill="0" autoLine="0" autoPict="0">
                <anchor moveWithCells="1">
                  <from>
                    <xdr:col>10</xdr:col>
                    <xdr:colOff>228600</xdr:colOff>
                    <xdr:row>20</xdr:row>
                    <xdr:rowOff>180975</xdr:rowOff>
                  </from>
                  <to>
                    <xdr:col>10</xdr:col>
                    <xdr:colOff>619125</xdr:colOff>
                    <xdr:row>22</xdr:row>
                    <xdr:rowOff>0</xdr:rowOff>
                  </to>
                </anchor>
              </controlPr>
            </control>
          </mc:Choice>
        </mc:AlternateContent>
        <mc:AlternateContent xmlns:mc="http://schemas.openxmlformats.org/markup-compatibility/2006">
          <mc:Choice Requires="x14">
            <control shapeId="4195" r:id="rId82" name="Check Box 99">
              <controlPr defaultSize="0" autoFill="0" autoLine="0" autoPict="0">
                <anchor moveWithCells="1">
                  <from>
                    <xdr:col>10</xdr:col>
                    <xdr:colOff>228600</xdr:colOff>
                    <xdr:row>21</xdr:row>
                    <xdr:rowOff>180975</xdr:rowOff>
                  </from>
                  <to>
                    <xdr:col>10</xdr:col>
                    <xdr:colOff>619125</xdr:colOff>
                    <xdr:row>23</xdr:row>
                    <xdr:rowOff>0</xdr:rowOff>
                  </to>
                </anchor>
              </controlPr>
            </control>
          </mc:Choice>
        </mc:AlternateContent>
        <mc:AlternateContent xmlns:mc="http://schemas.openxmlformats.org/markup-compatibility/2006">
          <mc:Choice Requires="x14">
            <control shapeId="4196" r:id="rId83" name="Check Box 100">
              <controlPr defaultSize="0" autoFill="0" autoLine="0" autoPict="0">
                <anchor moveWithCells="1">
                  <from>
                    <xdr:col>3</xdr:col>
                    <xdr:colOff>1171575</xdr:colOff>
                    <xdr:row>20</xdr:row>
                    <xdr:rowOff>180975</xdr:rowOff>
                  </from>
                  <to>
                    <xdr:col>5</xdr:col>
                    <xdr:colOff>114300</xdr:colOff>
                    <xdr:row>22</xdr:row>
                    <xdr:rowOff>0</xdr:rowOff>
                  </to>
                </anchor>
              </controlPr>
            </control>
          </mc:Choice>
        </mc:AlternateContent>
        <mc:AlternateContent xmlns:mc="http://schemas.openxmlformats.org/markup-compatibility/2006">
          <mc:Choice Requires="x14">
            <control shapeId="4197" r:id="rId84" name="Check Box 101">
              <controlPr defaultSize="0" autoFill="0" autoLine="0" autoPict="0">
                <anchor moveWithCells="1">
                  <from>
                    <xdr:col>3</xdr:col>
                    <xdr:colOff>1171575</xdr:colOff>
                    <xdr:row>21</xdr:row>
                    <xdr:rowOff>180975</xdr:rowOff>
                  </from>
                  <to>
                    <xdr:col>5</xdr:col>
                    <xdr:colOff>114300</xdr:colOff>
                    <xdr:row>23</xdr:row>
                    <xdr:rowOff>0</xdr:rowOff>
                  </to>
                </anchor>
              </controlPr>
            </control>
          </mc:Choice>
        </mc:AlternateContent>
        <mc:AlternateContent xmlns:mc="http://schemas.openxmlformats.org/markup-compatibility/2006">
          <mc:Choice Requires="x14">
            <control shapeId="4198" r:id="rId85" name="Check Box 102">
              <controlPr defaultSize="0" autoFill="0" autoLine="0" autoPict="0">
                <anchor moveWithCells="1">
                  <from>
                    <xdr:col>10</xdr:col>
                    <xdr:colOff>228600</xdr:colOff>
                    <xdr:row>21</xdr:row>
                    <xdr:rowOff>180975</xdr:rowOff>
                  </from>
                  <to>
                    <xdr:col>10</xdr:col>
                    <xdr:colOff>619125</xdr:colOff>
                    <xdr:row>23</xdr:row>
                    <xdr:rowOff>0</xdr:rowOff>
                  </to>
                </anchor>
              </controlPr>
            </control>
          </mc:Choice>
        </mc:AlternateContent>
        <mc:AlternateContent xmlns:mc="http://schemas.openxmlformats.org/markup-compatibility/2006">
          <mc:Choice Requires="x14">
            <control shapeId="4199" r:id="rId86" name="Check Box 103">
              <controlPr defaultSize="0" autoFill="0" autoLine="0" autoPict="0">
                <anchor moveWithCells="1">
                  <from>
                    <xdr:col>3</xdr:col>
                    <xdr:colOff>1171575</xdr:colOff>
                    <xdr:row>21</xdr:row>
                    <xdr:rowOff>180975</xdr:rowOff>
                  </from>
                  <to>
                    <xdr:col>5</xdr:col>
                    <xdr:colOff>114300</xdr:colOff>
                    <xdr:row>23</xdr:row>
                    <xdr:rowOff>0</xdr:rowOff>
                  </to>
                </anchor>
              </controlPr>
            </control>
          </mc:Choice>
        </mc:AlternateContent>
        <mc:AlternateContent xmlns:mc="http://schemas.openxmlformats.org/markup-compatibility/2006">
          <mc:Choice Requires="x14">
            <control shapeId="4200" r:id="rId87" name="Check Box 104">
              <controlPr defaultSize="0" autoFill="0" autoLine="0" autoPict="0">
                <anchor moveWithCells="1">
                  <from>
                    <xdr:col>10</xdr:col>
                    <xdr:colOff>228600</xdr:colOff>
                    <xdr:row>21</xdr:row>
                    <xdr:rowOff>180975</xdr:rowOff>
                  </from>
                  <to>
                    <xdr:col>10</xdr:col>
                    <xdr:colOff>619125</xdr:colOff>
                    <xdr:row>23</xdr:row>
                    <xdr:rowOff>0</xdr:rowOff>
                  </to>
                </anchor>
              </controlPr>
            </control>
          </mc:Choice>
        </mc:AlternateContent>
        <mc:AlternateContent xmlns:mc="http://schemas.openxmlformats.org/markup-compatibility/2006">
          <mc:Choice Requires="x14">
            <control shapeId="4201" r:id="rId88" name="Check Box 105">
              <controlPr defaultSize="0" autoFill="0" autoLine="0" autoPict="0">
                <anchor moveWithCells="1">
                  <from>
                    <xdr:col>10</xdr:col>
                    <xdr:colOff>228600</xdr:colOff>
                    <xdr:row>22</xdr:row>
                    <xdr:rowOff>180975</xdr:rowOff>
                  </from>
                  <to>
                    <xdr:col>10</xdr:col>
                    <xdr:colOff>619125</xdr:colOff>
                    <xdr:row>24</xdr:row>
                    <xdr:rowOff>0</xdr:rowOff>
                  </to>
                </anchor>
              </controlPr>
            </control>
          </mc:Choice>
        </mc:AlternateContent>
        <mc:AlternateContent xmlns:mc="http://schemas.openxmlformats.org/markup-compatibility/2006">
          <mc:Choice Requires="x14">
            <control shapeId="4202" r:id="rId89" name="Check Box 106">
              <controlPr defaultSize="0" autoFill="0" autoLine="0" autoPict="0">
                <anchor moveWithCells="1">
                  <from>
                    <xdr:col>3</xdr:col>
                    <xdr:colOff>1171575</xdr:colOff>
                    <xdr:row>21</xdr:row>
                    <xdr:rowOff>180975</xdr:rowOff>
                  </from>
                  <to>
                    <xdr:col>5</xdr:col>
                    <xdr:colOff>114300</xdr:colOff>
                    <xdr:row>23</xdr:row>
                    <xdr:rowOff>0</xdr:rowOff>
                  </to>
                </anchor>
              </controlPr>
            </control>
          </mc:Choice>
        </mc:AlternateContent>
        <mc:AlternateContent xmlns:mc="http://schemas.openxmlformats.org/markup-compatibility/2006">
          <mc:Choice Requires="x14">
            <control shapeId="4203" r:id="rId90" name="Check Box 107">
              <controlPr defaultSize="0" autoFill="0" autoLine="0" autoPict="0">
                <anchor moveWithCells="1">
                  <from>
                    <xdr:col>3</xdr:col>
                    <xdr:colOff>1171575</xdr:colOff>
                    <xdr:row>22</xdr:row>
                    <xdr:rowOff>180975</xdr:rowOff>
                  </from>
                  <to>
                    <xdr:col>5</xdr:col>
                    <xdr:colOff>114300</xdr:colOff>
                    <xdr:row>24</xdr:row>
                    <xdr:rowOff>0</xdr:rowOff>
                  </to>
                </anchor>
              </controlPr>
            </control>
          </mc:Choice>
        </mc:AlternateContent>
        <mc:AlternateContent xmlns:mc="http://schemas.openxmlformats.org/markup-compatibility/2006">
          <mc:Choice Requires="x14">
            <control shapeId="4204" r:id="rId91" name="Check Box 108">
              <controlPr defaultSize="0" autoFill="0" autoLine="0" autoPict="0">
                <anchor moveWithCells="1">
                  <from>
                    <xdr:col>10</xdr:col>
                    <xdr:colOff>228600</xdr:colOff>
                    <xdr:row>22</xdr:row>
                    <xdr:rowOff>180975</xdr:rowOff>
                  </from>
                  <to>
                    <xdr:col>10</xdr:col>
                    <xdr:colOff>619125</xdr:colOff>
                    <xdr:row>24</xdr:row>
                    <xdr:rowOff>0</xdr:rowOff>
                  </to>
                </anchor>
              </controlPr>
            </control>
          </mc:Choice>
        </mc:AlternateContent>
        <mc:AlternateContent xmlns:mc="http://schemas.openxmlformats.org/markup-compatibility/2006">
          <mc:Choice Requires="x14">
            <control shapeId="4205" r:id="rId92" name="Check Box 109">
              <controlPr defaultSize="0" autoFill="0" autoLine="0" autoPict="0">
                <anchor moveWithCells="1">
                  <from>
                    <xdr:col>3</xdr:col>
                    <xdr:colOff>1171575</xdr:colOff>
                    <xdr:row>22</xdr:row>
                    <xdr:rowOff>180975</xdr:rowOff>
                  </from>
                  <to>
                    <xdr:col>5</xdr:col>
                    <xdr:colOff>114300</xdr:colOff>
                    <xdr:row>24</xdr:row>
                    <xdr:rowOff>0</xdr:rowOff>
                  </to>
                </anchor>
              </controlPr>
            </control>
          </mc:Choice>
        </mc:AlternateContent>
        <mc:AlternateContent xmlns:mc="http://schemas.openxmlformats.org/markup-compatibility/2006">
          <mc:Choice Requires="x14">
            <control shapeId="4206" r:id="rId93" name="Check Box 110">
              <controlPr defaultSize="0" autoFill="0" autoLine="0" autoPict="0">
                <anchor moveWithCells="1">
                  <from>
                    <xdr:col>10</xdr:col>
                    <xdr:colOff>228600</xdr:colOff>
                    <xdr:row>22</xdr:row>
                    <xdr:rowOff>180975</xdr:rowOff>
                  </from>
                  <to>
                    <xdr:col>10</xdr:col>
                    <xdr:colOff>619125</xdr:colOff>
                    <xdr:row>24</xdr:row>
                    <xdr:rowOff>0</xdr:rowOff>
                  </to>
                </anchor>
              </controlPr>
            </control>
          </mc:Choice>
        </mc:AlternateContent>
        <mc:AlternateContent xmlns:mc="http://schemas.openxmlformats.org/markup-compatibility/2006">
          <mc:Choice Requires="x14">
            <control shapeId="4207" r:id="rId94" name="Check Box 111">
              <controlPr defaultSize="0" autoFill="0" autoLine="0" autoPict="0">
                <anchor moveWithCells="1">
                  <from>
                    <xdr:col>10</xdr:col>
                    <xdr:colOff>228600</xdr:colOff>
                    <xdr:row>23</xdr:row>
                    <xdr:rowOff>180975</xdr:rowOff>
                  </from>
                  <to>
                    <xdr:col>10</xdr:col>
                    <xdr:colOff>619125</xdr:colOff>
                    <xdr:row>25</xdr:row>
                    <xdr:rowOff>0</xdr:rowOff>
                  </to>
                </anchor>
              </controlPr>
            </control>
          </mc:Choice>
        </mc:AlternateContent>
        <mc:AlternateContent xmlns:mc="http://schemas.openxmlformats.org/markup-compatibility/2006">
          <mc:Choice Requires="x14">
            <control shapeId="4208" r:id="rId95" name="Check Box 112">
              <controlPr defaultSize="0" autoFill="0" autoLine="0" autoPict="0">
                <anchor moveWithCells="1">
                  <from>
                    <xdr:col>3</xdr:col>
                    <xdr:colOff>1171575</xdr:colOff>
                    <xdr:row>22</xdr:row>
                    <xdr:rowOff>180975</xdr:rowOff>
                  </from>
                  <to>
                    <xdr:col>5</xdr:col>
                    <xdr:colOff>114300</xdr:colOff>
                    <xdr:row>24</xdr:row>
                    <xdr:rowOff>0</xdr:rowOff>
                  </to>
                </anchor>
              </controlPr>
            </control>
          </mc:Choice>
        </mc:AlternateContent>
        <mc:AlternateContent xmlns:mc="http://schemas.openxmlformats.org/markup-compatibility/2006">
          <mc:Choice Requires="x14">
            <control shapeId="3" r:id="rId96" name="Check Box 113">
              <controlPr defaultSize="0" autoFill="0" autoLine="0" autoPict="0">
                <anchor moveWithCells="1">
                  <from>
                    <xdr:col>3</xdr:col>
                    <xdr:colOff>1762125</xdr:colOff>
                    <xdr:row>23</xdr:row>
                    <xdr:rowOff>276225</xdr:rowOff>
                  </from>
                  <to>
                    <xdr:col>5</xdr:col>
                    <xdr:colOff>171450</xdr:colOff>
                    <xdr:row>25</xdr:row>
                    <xdr:rowOff>0</xdr:rowOff>
                  </to>
                </anchor>
              </controlPr>
            </control>
          </mc:Choice>
        </mc:AlternateContent>
        <mc:AlternateContent xmlns:mc="http://schemas.openxmlformats.org/markup-compatibility/2006">
          <mc:Choice Requires="x14">
            <control shapeId="4210" r:id="rId97" name="Check Box 114">
              <controlPr defaultSize="0" autoFill="0" autoLine="0" autoPict="0">
                <anchor moveWithCells="1">
                  <from>
                    <xdr:col>10</xdr:col>
                    <xdr:colOff>228600</xdr:colOff>
                    <xdr:row>23</xdr:row>
                    <xdr:rowOff>180975</xdr:rowOff>
                  </from>
                  <to>
                    <xdr:col>10</xdr:col>
                    <xdr:colOff>619125</xdr:colOff>
                    <xdr:row>25</xdr:row>
                    <xdr:rowOff>0</xdr:rowOff>
                  </to>
                </anchor>
              </controlPr>
            </control>
          </mc:Choice>
        </mc:AlternateContent>
        <mc:AlternateContent xmlns:mc="http://schemas.openxmlformats.org/markup-compatibility/2006">
          <mc:Choice Requires="x14">
            <control shapeId="4211" r:id="rId98" name="Check Box 115">
              <controlPr defaultSize="0" autoFill="0" autoLine="0" autoPict="0">
                <anchor moveWithCells="1">
                  <from>
                    <xdr:col>3</xdr:col>
                    <xdr:colOff>1171575</xdr:colOff>
                    <xdr:row>23</xdr:row>
                    <xdr:rowOff>180975</xdr:rowOff>
                  </from>
                  <to>
                    <xdr:col>5</xdr:col>
                    <xdr:colOff>114300</xdr:colOff>
                    <xdr:row>25</xdr:row>
                    <xdr:rowOff>0</xdr:rowOff>
                  </to>
                </anchor>
              </controlPr>
            </control>
          </mc:Choice>
        </mc:AlternateContent>
        <mc:AlternateContent xmlns:mc="http://schemas.openxmlformats.org/markup-compatibility/2006">
          <mc:Choice Requires="x14">
            <control shapeId="4212" r:id="rId99" name="Check Box 116">
              <controlPr defaultSize="0" autoFill="0" autoLine="0" autoPict="0">
                <anchor moveWithCells="1">
                  <from>
                    <xdr:col>10</xdr:col>
                    <xdr:colOff>228600</xdr:colOff>
                    <xdr:row>23</xdr:row>
                    <xdr:rowOff>180975</xdr:rowOff>
                  </from>
                  <to>
                    <xdr:col>10</xdr:col>
                    <xdr:colOff>619125</xdr:colOff>
                    <xdr:row>25</xdr:row>
                    <xdr:rowOff>0</xdr:rowOff>
                  </to>
                </anchor>
              </controlPr>
            </control>
          </mc:Choice>
        </mc:AlternateContent>
        <mc:AlternateContent xmlns:mc="http://schemas.openxmlformats.org/markup-compatibility/2006">
          <mc:Choice Requires="x14">
            <control shapeId="4213" r:id="rId100" name="Check Box 117">
              <controlPr defaultSize="0" autoFill="0" autoLine="0" autoPict="0">
                <anchor moveWithCells="1">
                  <from>
                    <xdr:col>10</xdr:col>
                    <xdr:colOff>228600</xdr:colOff>
                    <xdr:row>24</xdr:row>
                    <xdr:rowOff>180975</xdr:rowOff>
                  </from>
                  <to>
                    <xdr:col>10</xdr:col>
                    <xdr:colOff>619125</xdr:colOff>
                    <xdr:row>26</xdr:row>
                    <xdr:rowOff>0</xdr:rowOff>
                  </to>
                </anchor>
              </controlPr>
            </control>
          </mc:Choice>
        </mc:AlternateContent>
        <mc:AlternateContent xmlns:mc="http://schemas.openxmlformats.org/markup-compatibility/2006">
          <mc:Choice Requires="x14">
            <control shapeId="4214" r:id="rId101" name="Check Box 118">
              <controlPr defaultSize="0" autoFill="0" autoLine="0" autoPict="0">
                <anchor moveWithCells="1">
                  <from>
                    <xdr:col>3</xdr:col>
                    <xdr:colOff>1171575</xdr:colOff>
                    <xdr:row>23</xdr:row>
                    <xdr:rowOff>180975</xdr:rowOff>
                  </from>
                  <to>
                    <xdr:col>5</xdr:col>
                    <xdr:colOff>114300</xdr:colOff>
                    <xdr:row>25</xdr:row>
                    <xdr:rowOff>0</xdr:rowOff>
                  </to>
                </anchor>
              </controlPr>
            </control>
          </mc:Choice>
        </mc:AlternateContent>
        <mc:AlternateContent xmlns:mc="http://schemas.openxmlformats.org/markup-compatibility/2006">
          <mc:Choice Requires="x14">
            <control shapeId="4215" r:id="rId102" name="Check Box 119">
              <controlPr defaultSize="0" autoFill="0" autoLine="0" autoPict="0">
                <anchor moveWithCells="1">
                  <from>
                    <xdr:col>3</xdr:col>
                    <xdr:colOff>1171575</xdr:colOff>
                    <xdr:row>24</xdr:row>
                    <xdr:rowOff>180975</xdr:rowOff>
                  </from>
                  <to>
                    <xdr:col>5</xdr:col>
                    <xdr:colOff>114300</xdr:colOff>
                    <xdr:row>26</xdr:row>
                    <xdr:rowOff>0</xdr:rowOff>
                  </to>
                </anchor>
              </controlPr>
            </control>
          </mc:Choice>
        </mc:AlternateContent>
        <mc:AlternateContent xmlns:mc="http://schemas.openxmlformats.org/markup-compatibility/2006">
          <mc:Choice Requires="x14">
            <control shapeId="4216" r:id="rId103" name="Check Box 120">
              <controlPr defaultSize="0" autoFill="0" autoLine="0" autoPict="0">
                <anchor moveWithCells="1">
                  <from>
                    <xdr:col>10</xdr:col>
                    <xdr:colOff>228600</xdr:colOff>
                    <xdr:row>24</xdr:row>
                    <xdr:rowOff>180975</xdr:rowOff>
                  </from>
                  <to>
                    <xdr:col>10</xdr:col>
                    <xdr:colOff>619125</xdr:colOff>
                    <xdr:row>26</xdr:row>
                    <xdr:rowOff>0</xdr:rowOff>
                  </to>
                </anchor>
              </controlPr>
            </control>
          </mc:Choice>
        </mc:AlternateContent>
        <mc:AlternateContent xmlns:mc="http://schemas.openxmlformats.org/markup-compatibility/2006">
          <mc:Choice Requires="x14">
            <control shapeId="4217" r:id="rId104" name="Check Box 121">
              <controlPr defaultSize="0" autoFill="0" autoLine="0" autoPict="0">
                <anchor moveWithCells="1">
                  <from>
                    <xdr:col>3</xdr:col>
                    <xdr:colOff>1171575</xdr:colOff>
                    <xdr:row>24</xdr:row>
                    <xdr:rowOff>180975</xdr:rowOff>
                  </from>
                  <to>
                    <xdr:col>5</xdr:col>
                    <xdr:colOff>114300</xdr:colOff>
                    <xdr:row>26</xdr:row>
                    <xdr:rowOff>0</xdr:rowOff>
                  </to>
                </anchor>
              </controlPr>
            </control>
          </mc:Choice>
        </mc:AlternateContent>
        <mc:AlternateContent xmlns:mc="http://schemas.openxmlformats.org/markup-compatibility/2006">
          <mc:Choice Requires="x14">
            <control shapeId="4218" r:id="rId105" name="Check Box 122">
              <controlPr defaultSize="0" autoFill="0" autoLine="0" autoPict="0">
                <anchor moveWithCells="1">
                  <from>
                    <xdr:col>10</xdr:col>
                    <xdr:colOff>228600</xdr:colOff>
                    <xdr:row>24</xdr:row>
                    <xdr:rowOff>180975</xdr:rowOff>
                  </from>
                  <to>
                    <xdr:col>10</xdr:col>
                    <xdr:colOff>619125</xdr:colOff>
                    <xdr:row>26</xdr:row>
                    <xdr:rowOff>0</xdr:rowOff>
                  </to>
                </anchor>
              </controlPr>
            </control>
          </mc:Choice>
        </mc:AlternateContent>
        <mc:AlternateContent xmlns:mc="http://schemas.openxmlformats.org/markup-compatibility/2006">
          <mc:Choice Requires="x14">
            <control shapeId="4219" r:id="rId106" name="Check Box 123">
              <controlPr defaultSize="0" autoFill="0" autoLine="0" autoPict="0">
                <anchor moveWithCells="1">
                  <from>
                    <xdr:col>10</xdr:col>
                    <xdr:colOff>228600</xdr:colOff>
                    <xdr:row>25</xdr:row>
                    <xdr:rowOff>180975</xdr:rowOff>
                  </from>
                  <to>
                    <xdr:col>10</xdr:col>
                    <xdr:colOff>619125</xdr:colOff>
                    <xdr:row>27</xdr:row>
                    <xdr:rowOff>0</xdr:rowOff>
                  </to>
                </anchor>
              </controlPr>
            </control>
          </mc:Choice>
        </mc:AlternateContent>
        <mc:AlternateContent xmlns:mc="http://schemas.openxmlformats.org/markup-compatibility/2006">
          <mc:Choice Requires="x14">
            <control shapeId="4220" r:id="rId107" name="Check Box 124">
              <controlPr defaultSize="0" autoFill="0" autoLine="0" autoPict="0">
                <anchor moveWithCells="1">
                  <from>
                    <xdr:col>3</xdr:col>
                    <xdr:colOff>1171575</xdr:colOff>
                    <xdr:row>24</xdr:row>
                    <xdr:rowOff>180975</xdr:rowOff>
                  </from>
                  <to>
                    <xdr:col>5</xdr:col>
                    <xdr:colOff>114300</xdr:colOff>
                    <xdr:row>26</xdr:row>
                    <xdr:rowOff>0</xdr:rowOff>
                  </to>
                </anchor>
              </controlPr>
            </control>
          </mc:Choice>
        </mc:AlternateContent>
        <mc:AlternateContent xmlns:mc="http://schemas.openxmlformats.org/markup-compatibility/2006">
          <mc:Choice Requires="x14">
            <control shapeId="4221" r:id="rId108" name="Check Box 125">
              <controlPr defaultSize="0" autoFill="0" autoLine="0" autoPict="0">
                <anchor moveWithCells="1">
                  <from>
                    <xdr:col>3</xdr:col>
                    <xdr:colOff>1171575</xdr:colOff>
                    <xdr:row>25</xdr:row>
                    <xdr:rowOff>180975</xdr:rowOff>
                  </from>
                  <to>
                    <xdr:col>5</xdr:col>
                    <xdr:colOff>114300</xdr:colOff>
                    <xdr:row>27</xdr:row>
                    <xdr:rowOff>0</xdr:rowOff>
                  </to>
                </anchor>
              </controlPr>
            </control>
          </mc:Choice>
        </mc:AlternateContent>
        <mc:AlternateContent xmlns:mc="http://schemas.openxmlformats.org/markup-compatibility/2006">
          <mc:Choice Requires="x14">
            <control shapeId="4222" r:id="rId109" name="Check Box 126">
              <controlPr defaultSize="0" autoFill="0" autoLine="0" autoPict="0">
                <anchor moveWithCells="1">
                  <from>
                    <xdr:col>10</xdr:col>
                    <xdr:colOff>228600</xdr:colOff>
                    <xdr:row>25</xdr:row>
                    <xdr:rowOff>180975</xdr:rowOff>
                  </from>
                  <to>
                    <xdr:col>10</xdr:col>
                    <xdr:colOff>619125</xdr:colOff>
                    <xdr:row>27</xdr:row>
                    <xdr:rowOff>0</xdr:rowOff>
                  </to>
                </anchor>
              </controlPr>
            </control>
          </mc:Choice>
        </mc:AlternateContent>
        <mc:AlternateContent xmlns:mc="http://schemas.openxmlformats.org/markup-compatibility/2006">
          <mc:Choice Requires="x14">
            <control shapeId="4223" r:id="rId110" name="Check Box 127">
              <controlPr defaultSize="0" autoFill="0" autoLine="0" autoPict="0">
                <anchor moveWithCells="1">
                  <from>
                    <xdr:col>3</xdr:col>
                    <xdr:colOff>1171575</xdr:colOff>
                    <xdr:row>25</xdr:row>
                    <xdr:rowOff>180975</xdr:rowOff>
                  </from>
                  <to>
                    <xdr:col>5</xdr:col>
                    <xdr:colOff>114300</xdr:colOff>
                    <xdr:row>27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5C3A09B905331458C3CE2D04A0BA3EB" ma:contentTypeVersion="12" ma:contentTypeDescription="Create a new document." ma:contentTypeScope="" ma:versionID="fbbcafc46105c72bba88872df9729e78">
  <xsd:schema xmlns:xsd="http://www.w3.org/2001/XMLSchema" xmlns:xs="http://www.w3.org/2001/XMLSchema" xmlns:p="http://schemas.microsoft.com/office/2006/metadata/properties" xmlns:ns3="798d04b1-8d83-4796-b255-a5633aad4790" xmlns:ns4="3f5644c3-a73c-4fe4-9d0e-ba9f2d4562fb" targetNamespace="http://schemas.microsoft.com/office/2006/metadata/properties" ma:root="true" ma:fieldsID="be09dab3d3e8fe626978f290807ccd90" ns3:_="" ns4:_="">
    <xsd:import namespace="798d04b1-8d83-4796-b255-a5633aad4790"/>
    <xsd:import namespace="3f5644c3-a73c-4fe4-9d0e-ba9f2d4562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d04b1-8d83-4796-b255-a5633aad47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5644c3-a73c-4fe4-9d0e-ba9f2d4562f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0BCFF5-D736-4A2B-8F89-DD05CD9840B4}">
  <ds:schemaRefs>
    <ds:schemaRef ds:uri="http://schemas.microsoft.com/office/2006/metadata/longProperties"/>
  </ds:schemaRefs>
</ds:datastoreItem>
</file>

<file path=customXml/itemProps2.xml><?xml version="1.0" encoding="utf-8"?>
<ds:datastoreItem xmlns:ds="http://schemas.openxmlformats.org/officeDocument/2006/customXml" ds:itemID="{B9E6CD02-73A3-4922-8D5B-44EEB97D7B92}">
  <ds:schemaRefs>
    <ds:schemaRef ds:uri="http://schemas.microsoft.com/sharepoint/v3/contenttype/forms"/>
  </ds:schemaRefs>
</ds:datastoreItem>
</file>

<file path=customXml/itemProps3.xml><?xml version="1.0" encoding="utf-8"?>
<ds:datastoreItem xmlns:ds="http://schemas.openxmlformats.org/officeDocument/2006/customXml" ds:itemID="{225DC811-8392-475E-892A-53BDB31263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8d04b1-8d83-4796-b255-a5633aad4790"/>
    <ds:schemaRef ds:uri="3f5644c3-a73c-4fe4-9d0e-ba9f2d4562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E4B898-1C4F-4F49-B535-0DCAA5DF10D5}">
  <ds:schemaRefs>
    <ds:schemaRef ds:uri="3f5644c3-a73c-4fe4-9d0e-ba9f2d4562f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798d04b1-8d83-4796-b255-a5633aad479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Portrait</vt:lpstr>
      <vt:lpstr>Portrait!Print_Area</vt:lpstr>
    </vt:vector>
  </TitlesOfParts>
  <Manager/>
  <Company>Imperial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Shemilt</dc:creator>
  <cp:keywords/>
  <dc:description/>
  <cp:lastModifiedBy>Shrestha, Barsha</cp:lastModifiedBy>
  <cp:revision/>
  <dcterms:created xsi:type="dcterms:W3CDTF">2009-04-06T12:27:44Z</dcterms:created>
  <dcterms:modified xsi:type="dcterms:W3CDTF">2021-11-23T11:55:07Z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0x01010065C3A09B905331458C3CE2D04A0BA3EB</vt:lpwstr>
  </property>
</Properties>
</file>