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603"/>
  <workbookPr defaultThemeVersion="124226"/>
  <mc:AlternateContent xmlns:mc="http://schemas.openxmlformats.org/markup-compatibility/2006">
    <mc:Choice Requires="x15">
      <x15ac:absPath xmlns:x15ac="http://schemas.microsoft.com/office/spreadsheetml/2010/11/ac" url="D:\TempUserProfiles\NetworkService\AppData\Local\Packages\oice_16_974fa576_32c1d314_63a\AC\Temp\"/>
    </mc:Choice>
  </mc:AlternateContent>
  <xr:revisionPtr revIDLastSave="13" documentId="8_{1BE2E4CE-3A86-4410-9124-CEB83B869619}" xr6:coauthVersionLast="47" xr6:coauthVersionMax="47" xr10:uidLastSave="{18521823-2EAF-4D3E-8FD9-77E222BC72E3}"/>
  <bookViews>
    <workbookView xWindow="-60" yWindow="-60" windowWidth="15480" windowHeight="11640" xr2:uid="{00000000-000D-0000-FFFF-FFFF00000000}"/>
  </bookViews>
  <sheets>
    <sheet name="Portrait" sheetId="4" r:id="rId1"/>
  </sheets>
  <definedNames>
    <definedName name="Analysis">#REF!</definedName>
    <definedName name="_xlnm.Print_Area" localSheetId="0">Portrait!$B$1:$N$67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 i="4" l="1"/>
  <c r="L26" i="4"/>
  <c r="J25" i="4"/>
  <c r="L25" i="4"/>
  <c r="J24" i="4"/>
  <c r="J27" i="4"/>
  <c r="X65" i="4"/>
  <c r="X64" i="4"/>
  <c r="X63" i="4"/>
  <c r="X62" i="4"/>
  <c r="X61" i="4"/>
  <c r="X60" i="4"/>
  <c r="X59" i="4"/>
  <c r="X58" i="4"/>
  <c r="X57" i="4"/>
  <c r="X56" i="4"/>
  <c r="X55" i="4"/>
  <c r="X54" i="4"/>
  <c r="X53" i="4"/>
  <c r="X52" i="4"/>
  <c r="N52" i="4"/>
  <c r="X51" i="4"/>
  <c r="X50" i="4"/>
  <c r="X49" i="4"/>
  <c r="X48" i="4"/>
  <c r="J48" i="4"/>
  <c r="X47" i="4"/>
  <c r="L47" i="4"/>
  <c r="X46" i="4"/>
  <c r="L46" i="4"/>
  <c r="X45" i="4"/>
  <c r="L45" i="4"/>
  <c r="X44" i="4"/>
  <c r="L44" i="4"/>
  <c r="X43" i="4"/>
  <c r="L43" i="4"/>
  <c r="X42" i="4"/>
  <c r="L42" i="4"/>
  <c r="X41" i="4"/>
  <c r="L41" i="4"/>
  <c r="X40" i="4"/>
  <c r="X39" i="4"/>
  <c r="X38" i="4"/>
  <c r="X37" i="4"/>
  <c r="X36" i="4"/>
  <c r="J36" i="4"/>
  <c r="X35" i="4"/>
  <c r="L35" i="4"/>
  <c r="X34" i="4"/>
  <c r="L34" i="4"/>
  <c r="X33" i="4"/>
  <c r="L33" i="4"/>
  <c r="X32" i="4"/>
  <c r="L32" i="4"/>
  <c r="N35" i="4" s="1" a="1"/>
  <c r="N35" i="4" s="1"/>
  <c r="N32" i="4"/>
  <c r="N33" i="4" a="1"/>
  <c r="N33" i="4"/>
  <c r="X31" i="4"/>
  <c r="X30" i="4"/>
  <c r="X29" i="4"/>
  <c r="X28" i="4"/>
  <c r="X27" i="4"/>
  <c r="X26" i="4"/>
  <c r="X25" i="4"/>
  <c r="X24" i="4"/>
  <c r="X23" i="4"/>
  <c r="X22" i="4"/>
  <c r="X21" i="4"/>
  <c r="X20" i="4"/>
  <c r="X19" i="4"/>
  <c r="J19" i="4"/>
  <c r="X18" i="4"/>
  <c r="L18" i="4"/>
  <c r="X17" i="4"/>
  <c r="L17" i="4"/>
  <c r="X16" i="4"/>
  <c r="L16" i="4"/>
  <c r="X15" i="4"/>
  <c r="L15" i="4"/>
  <c r="X14" i="4"/>
  <c r="L14" i="4"/>
  <c r="X13" i="4"/>
  <c r="L13" i="4"/>
  <c r="N13" i="4"/>
  <c r="X12" i="4"/>
  <c r="N44" i="4" a="1"/>
  <c r="N44" i="4"/>
  <c r="N45" i="4" a="1"/>
  <c r="N45" i="4"/>
  <c r="N41" i="4"/>
  <c r="N34" i="4" a="1"/>
  <c r="N34" i="4"/>
  <c r="N47" i="4" a="1"/>
  <c r="N47" i="4"/>
  <c r="L24" i="4"/>
  <c r="N24" i="4"/>
  <c r="N25" i="4" a="1"/>
  <c r="N25" i="4"/>
  <c r="N26" i="4" a="1"/>
  <c r="N26" i="4"/>
  <c r="N27" i="4" s="1"/>
  <c r="N18" i="4" l="1" a="1"/>
  <c r="N18" i="4" s="1"/>
  <c r="N17" i="4" a="1"/>
  <c r="N17" i="4" s="1"/>
  <c r="N16" i="4" a="1"/>
  <c r="N16" i="4" s="1"/>
  <c r="N15" i="4" a="1"/>
  <c r="N15" i="4" s="1"/>
  <c r="N14" i="4" a="1"/>
  <c r="N14" i="4" s="1"/>
  <c r="N19" i="4" s="1"/>
  <c r="N36" i="4"/>
  <c r="J51" i="4"/>
  <c r="J53" i="4" s="1"/>
  <c r="N46" i="4" a="1"/>
  <c r="N46" i="4" s="1"/>
  <c r="N43" i="4" a="1"/>
  <c r="N43" i="4" s="1"/>
  <c r="N42" i="4" a="1"/>
  <c r="N42" i="4" s="1"/>
  <c r="N48" i="4" s="1"/>
  <c r="N51" i="4" s="1"/>
  <c r="N53" i="4" s="1"/>
</calcChain>
</file>

<file path=xl/sharedStrings.xml><?xml version="1.0" encoding="utf-8"?>
<sst xmlns="http://schemas.openxmlformats.org/spreadsheetml/2006/main" count="405" uniqueCount="288">
  <si>
    <t xml:space="preserve">This Excel form may be saved to your hard drive and completed at your computer, but then must be printed out, signed, receipts attached, authorised, stamped  and sent by internal post to the Expenses Office, Sherfeld Building </t>
  </si>
  <si>
    <t>Expense Claim - E1</t>
  </si>
  <si>
    <t>VAT =</t>
  </si>
  <si>
    <t>v1.1</t>
  </si>
  <si>
    <t>Title and full name:</t>
  </si>
  <si>
    <t>Samuel Stark</t>
  </si>
  <si>
    <t>As you complete this form cells will become shaded light red to help indicate where data needs to be entered</t>
  </si>
  <si>
    <t>Analysis Code List</t>
  </si>
  <si>
    <t>College Identifier
(CID Number):</t>
  </si>
  <si>
    <t>The section below must be completed by students, casual staff and visitors to the college.
For employees, this information is obtained from HR and payroll.</t>
  </si>
  <si>
    <t>Income tax? (mark with a cross)</t>
  </si>
  <si>
    <t>Purpose of claim:</t>
  </si>
  <si>
    <t>Date of birth:</t>
  </si>
  <si>
    <t>Bank Name:</t>
  </si>
  <si>
    <t xml:space="preserve">This list contains only the codes eligible for use on expense claims.  </t>
  </si>
  <si>
    <t>Visit to ETH Zürich, Forschungsintitut für Mathematik</t>
  </si>
  <si>
    <t>Home address:</t>
  </si>
  <si>
    <t>Bank Branch:</t>
  </si>
  <si>
    <t xml:space="preserve">A full list can be downloaded from the finance division's intranet pages. </t>
  </si>
  <si>
    <t xml:space="preserve">28 Curran House </t>
  </si>
  <si>
    <t>Sort code:
(or SWIFT)</t>
  </si>
  <si>
    <t>Lucan Place</t>
  </si>
  <si>
    <t>Account No.:
(or IBAN):</t>
  </si>
  <si>
    <t>London</t>
  </si>
  <si>
    <t>Post Code:</t>
  </si>
  <si>
    <t>Travel (general)</t>
  </si>
  <si>
    <t>TRAVEL General</t>
  </si>
  <si>
    <t>Date(s)</t>
  </si>
  <si>
    <t>Mode</t>
  </si>
  <si>
    <t>Return?</t>
  </si>
  <si>
    <t>From</t>
  </si>
  <si>
    <t>To</t>
  </si>
  <si>
    <t>Foreign Currency</t>
  </si>
  <si>
    <t xml:space="preserve">Sterling total (£) </t>
  </si>
  <si>
    <t>Tick if
Non UK/EU
Travel</t>
  </si>
  <si>
    <t>Analysis Code</t>
  </si>
  <si>
    <t>Sub Total
(AP Use Only)</t>
  </si>
  <si>
    <t>AIR TRAVEL (UK/EU)</t>
  </si>
  <si>
    <t>AIR TRAVELFALSE</t>
  </si>
  <si>
    <t>AIR TRAVEL</t>
  </si>
  <si>
    <t>27/08</t>
  </si>
  <si>
    <t>Air Travel</t>
  </si>
  <si>
    <t xml:space="preserve">London </t>
  </si>
  <si>
    <t>Zürich</t>
  </si>
  <si>
    <t>AIR TRAVEL (Non UK/EU))</t>
  </si>
  <si>
    <t>AIR TRAVELTRUE</t>
  </si>
  <si>
    <t>RAIL</t>
  </si>
  <si>
    <t>RAIL (UK/EU)</t>
  </si>
  <si>
    <t>RAILFALSE</t>
  </si>
  <si>
    <t>TAXI</t>
  </si>
  <si>
    <t>RAIL (Non UK/EU))</t>
  </si>
  <si>
    <t>RAILTRUE</t>
  </si>
  <si>
    <t>CAR HIRE</t>
  </si>
  <si>
    <t>CAR HIRE (UK/EU)</t>
  </si>
  <si>
    <t>CAR HIREFALSE</t>
  </si>
  <si>
    <t>CAR PARKING</t>
  </si>
  <si>
    <t>CAR HIRE (Non UK/EU))</t>
  </si>
  <si>
    <t>CAR HIRETRUE</t>
  </si>
  <si>
    <t>OTHER</t>
  </si>
  <si>
    <t>TAXIFALSE</t>
  </si>
  <si>
    <t>SUB-TOTAL: TRAVEL</t>
  </si>
  <si>
    <t>TAXITRUE</t>
  </si>
  <si>
    <t>↓↓↓↓COMMON TYPES↓↓↓↓</t>
  </si>
  <si>
    <t>ICIS Code</t>
  </si>
  <si>
    <t>Cost Centre:</t>
  </si>
  <si>
    <t>Activity / Project No.:</t>
  </si>
  <si>
    <t>OTHER TRAVEL (UK/EU)</t>
  </si>
  <si>
    <t>OTHER TRAVELFLASE</t>
  </si>
  <si>
    <t>BOOKS</t>
  </si>
  <si>
    <t>OTHER TRAVEL (Non UK/EU))</t>
  </si>
  <si>
    <t>OTHER TRAVELTRUE</t>
  </si>
  <si>
    <t>CONFERENCE FEES</t>
  </si>
  <si>
    <t>Travel (car mileage)</t>
  </si>
  <si>
    <t>CAR PARKING FEES</t>
  </si>
  <si>
    <t>CAR PARKINGFALSE</t>
  </si>
  <si>
    <t>EQUIPMENT PURCHASE</t>
  </si>
  <si>
    <t>Date</t>
  </si>
  <si>
    <t>Number of miles</t>
  </si>
  <si>
    <t>Cost per mile (£)</t>
  </si>
  <si>
    <t>Tick if
Non UK/EU</t>
  </si>
  <si>
    <t>CAR PARKINGTRUE</t>
  </si>
  <si>
    <t>EXAMINATION FEES</t>
  </si>
  <si>
    <t>TRAVEL - INTER DEPARTMENTAL/SITES (UK)</t>
  </si>
  <si>
    <t>HOTEL / SUBSISTENCE</t>
  </si>
  <si>
    <t>INTERNET COST</t>
  </si>
  <si>
    <t>LAB SUPPLIES</t>
  </si>
  <si>
    <t>SUB-TOTAL: MILEAGE</t>
  </si>
  <si>
    <t>MOTOR MILEAGE</t>
  </si>
  <si>
    <t>MEMBERSHIP SUBS.</t>
  </si>
  <si>
    <t>MILEAGE (UK/EU)</t>
  </si>
  <si>
    <t>MILEAGEFALSE</t>
  </si>
  <si>
    <t>MOBILE CALLS/RENT</t>
  </si>
  <si>
    <t>MILEAGE (Non UK/EU))</t>
  </si>
  <si>
    <t>MILEAGETRUE</t>
  </si>
  <si>
    <t>OFFICE SUNDRIES</t>
  </si>
  <si>
    <t>Entertainment/ Hospitality</t>
  </si>
  <si>
    <t>PRIZES / AWARDS</t>
  </si>
  <si>
    <t>Name of principal guest</t>
  </si>
  <si>
    <t>Organisation represented or other description</t>
  </si>
  <si>
    <t>Total numbers present</t>
  </si>
  <si>
    <t>Tick if
Non-College Staff Present</t>
  </si>
  <si>
    <t>HOSPITALITY</t>
  </si>
  <si>
    <t>RENTS PAYABLE</t>
  </si>
  <si>
    <t>HOSPITALITY-EMPLOYEE ONLY</t>
  </si>
  <si>
    <t>HOSPITALITYFALSE</t>
  </si>
  <si>
    <t>SAFETY EXPENSES</t>
  </si>
  <si>
    <t>HOSPITALITY-STUDENTS/GUESTS</t>
  </si>
  <si>
    <t>HOSPITALITYTRUE</t>
  </si>
  <si>
    <t>SOFTWARE PURCHASES</t>
  </si>
  <si>
    <t>TRAINING / COURSE FEES</t>
  </si>
  <si>
    <t>↓↓↓↓↓OTHER TYPES↓↓↓↓↓</t>
  </si>
  <si>
    <t>SUB-TOTAL: ENTERTAINMENT / HOSPITALITY</t>
  </si>
  <si>
    <t>HOTEL, ACCOMMODATION &amp; SUBSISTENCE</t>
  </si>
  <si>
    <t>AV EQUIPMENT</t>
  </si>
  <si>
    <t>HOTEL, ACCOMMODATION &amp; SUBSISTENCE (UK/EU)</t>
  </si>
  <si>
    <t>HOTEL / SUBSISTENCEFALSE</t>
  </si>
  <si>
    <t>AV MATERIALS</t>
  </si>
  <si>
    <t>HOTEL, ACCOMMODATION &amp; SUBSISTENCE (Non UK/EU))</t>
  </si>
  <si>
    <t>HOTEL / SUBSISTENCETRUE</t>
  </si>
  <si>
    <t>CLEANING MATERIALS</t>
  </si>
  <si>
    <t>Subsistence / Hotels / Incidentals / Others</t>
  </si>
  <si>
    <t>TRAINING &amp; DEVELOPMENT</t>
  </si>
  <si>
    <t>CLOTHING &amp; UNIFORMS</t>
  </si>
  <si>
    <t>Expense Type</t>
  </si>
  <si>
    <t>Description</t>
  </si>
  <si>
    <t>COMPUTING EQUIP.</t>
  </si>
  <si>
    <t>CONFERENCE FEES (UK/EU)</t>
  </si>
  <si>
    <t>CONFERENCE FEESFALSE</t>
  </si>
  <si>
    <t>COURIERS / FREIGHT</t>
  </si>
  <si>
    <t>CONFERENCE FEES (Non UK/EU))</t>
  </si>
  <si>
    <t>CONFERENCE FEESTRUE</t>
  </si>
  <si>
    <t>COURSE MATERIAL</t>
  </si>
  <si>
    <t>PROFESSIONAL SERVICES</t>
  </si>
  <si>
    <t>ELECTRICAL SUPPLIES</t>
  </si>
  <si>
    <t>MEMBERSHIP SUBSCRIPTIONS PAYABLE</t>
  </si>
  <si>
    <t>FURNITURE PURCHASE</t>
  </si>
  <si>
    <t>HEALTH SCREENING</t>
  </si>
  <si>
    <t>GLASSWARE</t>
  </si>
  <si>
    <t xml:space="preserve">COMPUTER  SOFTWARE AND EXPENSES </t>
  </si>
  <si>
    <t>HAND / POWER TOOLS</t>
  </si>
  <si>
    <t>HARDSHIP</t>
  </si>
  <si>
    <t>SUB-TOTAL: SUBSISTENCE / INCIDENTALS / OTHER</t>
  </si>
  <si>
    <t>SOFTWARE MAINTENANCE &amp; LICENCES</t>
  </si>
  <si>
    <t>SOFTWARE LICENCES</t>
  </si>
  <si>
    <t>LAUNDRY</t>
  </si>
  <si>
    <t>LABORATORY AND WORKSHOP SUPPLIES</t>
  </si>
  <si>
    <t>LIBRARY MUSIC</t>
  </si>
  <si>
    <t>OVERALL GROSS TOTAL CLAIMED</t>
  </si>
  <si>
    <t>LABORATORY SUPPLIES/CONSUMABLES</t>
  </si>
  <si>
    <t>LIBRARY PERIODICALS</t>
  </si>
  <si>
    <t>LESS: Advance received (if any)</t>
  </si>
  <si>
    <t>GLASSWARE &amp; PLASTICWARE</t>
  </si>
  <si>
    <t>PATENTS/ROYALTIES</t>
  </si>
  <si>
    <t>NET CLAIM / REFUND DUE</t>
  </si>
  <si>
    <t>ELECTRICAL / MECHANICAL SUPPLIES</t>
  </si>
  <si>
    <t>PHOTOCOPYING</t>
  </si>
  <si>
    <t>PHOTOGRAPHY</t>
  </si>
  <si>
    <t>I have checked that:</t>
  </si>
  <si>
    <t>Main departmental authorisation</t>
  </si>
  <si>
    <t>I confirm that:</t>
  </si>
  <si>
    <t>Claimant's declaration</t>
  </si>
  <si>
    <t>WORKSHOP MATERIALS</t>
  </si>
  <si>
    <t>POSTAGES</t>
  </si>
  <si>
    <t>o  income tax issues have been considered and any potentially taxable items marked with a cross in the left hand column, above</t>
  </si>
  <si>
    <t>o  expenditure shown above has been incurred by me wholly, necessarily and exclusively for the purposes of the College's business</t>
  </si>
  <si>
    <t>PRINTING</t>
  </si>
  <si>
    <t>o  no private or family component has been charged to the College</t>
  </si>
  <si>
    <t>o  any monies advanced by the College have been deducted from the final claim</t>
  </si>
  <si>
    <t>EQUIPMENT AND HARDWARE</t>
  </si>
  <si>
    <t>PUBLICATION PRODUCTION</t>
  </si>
  <si>
    <t>o  receipts are attached and correspond to the claim</t>
  </si>
  <si>
    <t>o  re-imbursement only of actual costs is sought; there is no element of profit</t>
  </si>
  <si>
    <t xml:space="preserve">EQUIPMENT PURCHASE (under £100, unless approved by departmental manager) </t>
  </si>
  <si>
    <t>SAFETY TRAINING</t>
  </si>
  <si>
    <t>o  the costs claimed do not exceed the published rates / allowances</t>
  </si>
  <si>
    <t>o  no part of the claim relates to holidays or private business activities</t>
  </si>
  <si>
    <t>AV &amp; OTHER CONFERENCING EQUIPMENT</t>
  </si>
  <si>
    <t xml:space="preserve">SECURITY CONTRACTS </t>
  </si>
  <si>
    <t>o  the ICIS code(s) are valid and appropriate for expenditure of this type</t>
  </si>
  <si>
    <t>o  any cost relating to travel costs for my spouse, partner, family or others who are not employees engaged on College business have been deducated</t>
  </si>
  <si>
    <t>COMPUTER EQUIPMENT MAINTENANCE</t>
  </si>
  <si>
    <t>SECURITY EXPENSES</t>
  </si>
  <si>
    <t>signature</t>
  </si>
  <si>
    <t>Date:</t>
  </si>
  <si>
    <t>o  nothing included in this claim has been previously claimed from the College or from any other person</t>
  </si>
  <si>
    <t>OFFICE EXPENSES</t>
  </si>
  <si>
    <t>Name (print)</t>
  </si>
  <si>
    <t>signature:</t>
  </si>
  <si>
    <t>STATIONERY</t>
  </si>
  <si>
    <t>authorisation stamp</t>
  </si>
  <si>
    <t>TELEPHONE CALLS/RENT</t>
  </si>
  <si>
    <t>AUDIO-VISUAL MATERIALS</t>
  </si>
  <si>
    <t>VEHICLE EXPENSES</t>
  </si>
  <si>
    <t>Secondary departmental authorisation (Optional)</t>
  </si>
  <si>
    <t>NEW COURSE MATERIAL</t>
  </si>
  <si>
    <t>POSTAGE AND TELECOM EXPENSES</t>
  </si>
  <si>
    <t>GROUP POST / COURIERS / FREIGHT</t>
  </si>
  <si>
    <t>MOBILE PHONE CALLS/RENT</t>
  </si>
  <si>
    <t>OTHER EMPLOYEE/STUDENT EXPENSES</t>
  </si>
  <si>
    <t>EXAMINATION FEES/EXPENSES</t>
  </si>
  <si>
    <t>VEHICLES</t>
  </si>
  <si>
    <t>CLEANING</t>
  </si>
  <si>
    <t>FURNITURE</t>
  </si>
  <si>
    <t>LIBRARY EXPENDITURE</t>
  </si>
  <si>
    <t>LIBRARY PERIODICALS/NEWSPAPERS</t>
  </si>
  <si>
    <t>LIBRARY MUSIC CD'S / SCORES</t>
  </si>
  <si>
    <t>SAFETY</t>
  </si>
  <si>
    <t>ESTATES &amp; BUILDINGS</t>
  </si>
  <si>
    <t>SECURITY</t>
  </si>
  <si>
    <t>MISCELLANEOUS</t>
  </si>
  <si>
    <t>PATENTS/ROYALTIES PAYABLE</t>
  </si>
  <si>
    <t>INELIGIBLE FOR EXPENSE CLAIMS</t>
  </si>
  <si>
    <t>ALL PAYROLL COSTS</t>
  </si>
  <si>
    <t>144601 etc</t>
  </si>
  <si>
    <t>CHEMICALS</t>
  </si>
  <si>
    <t>GASES</t>
  </si>
  <si>
    <t>CYLINDER RENTAL</t>
  </si>
  <si>
    <t>WORKSHOP BOUGHT-IN SERVICES</t>
  </si>
  <si>
    <t>EQUIPMENT PURCHASE &gt; £50000</t>
  </si>
  <si>
    <t>TEACHING EQUIPMENT PURCHASE</t>
  </si>
  <si>
    <t>COMPUTER EQUIPMENT PURCHASE</t>
  </si>
  <si>
    <t>CLEANING EQUIPMENT PURCHASE</t>
  </si>
  <si>
    <t>EQUIPMENT MAINTENANCE</t>
  </si>
  <si>
    <t>EQUIPMENT RENTAL</t>
  </si>
  <si>
    <t>IT SUPPORT</t>
  </si>
  <si>
    <t>NETWORK INSTALLATION / SERVICES</t>
  </si>
  <si>
    <t>WEB DESIGN AND MAINTENANCE</t>
  </si>
  <si>
    <t>BIOINFORMATICS STANDARD ACCESS</t>
  </si>
  <si>
    <t>SHORT COURSE MANAGEMENT FEE</t>
  </si>
  <si>
    <t>COMMISSIONS PAYABLE</t>
  </si>
  <si>
    <t>CLEANING CONTRACTS</t>
  </si>
  <si>
    <t>WINDOW CLEANING</t>
  </si>
  <si>
    <t>GENERAL WASTE DISPOSAL</t>
  </si>
  <si>
    <t>CLEANING AGENTS</t>
  </si>
  <si>
    <t>PEST CONTROL</t>
  </si>
  <si>
    <t xml:space="preserve">DEEP CLEANING CONTRACTS </t>
  </si>
  <si>
    <t>FURNITURE MAINTENANCE/REPAIRS</t>
  </si>
  <si>
    <t>FURNITURE RENTAL</t>
  </si>
  <si>
    <t>ADVERTISING AND PUBLIC RELATIONS</t>
  </si>
  <si>
    <t>ADVERTISING-STAFF</t>
  </si>
  <si>
    <t>ADVERTISING-COURSES</t>
  </si>
  <si>
    <t>ADVERTISING-DEPARTMENT</t>
  </si>
  <si>
    <t>ADVERTISING-STUDENTSHIPS</t>
  </si>
  <si>
    <t>LIBRARY BINDING</t>
  </si>
  <si>
    <t>INTER-LIBRARY LOANS</t>
  </si>
  <si>
    <t>LIBRARY SUNDRIES</t>
  </si>
  <si>
    <t>ELECTRICAL TESTING</t>
  </si>
  <si>
    <t>FIRE PRECAUTION</t>
  </si>
  <si>
    <t>RADIOACTIVE WASTE DISPOSAL</t>
  </si>
  <si>
    <t>TOXIC WASTE DISPOSAL</t>
  </si>
  <si>
    <t>CLINICAL/MEDICAL WASTE DISPOSAL</t>
  </si>
  <si>
    <t>VEHICLE PURCHASES</t>
  </si>
  <si>
    <t>INSURANCE</t>
  </si>
  <si>
    <t>INSURANCE CLAIMS</t>
  </si>
  <si>
    <t>MINOR WORK/MAINTENANCE</t>
  </si>
  <si>
    <t>MINOR WORKS RECHARGE TO CAPITAL PROJECT</t>
  </si>
  <si>
    <t>BUILDING WORK</t>
  </si>
  <si>
    <t>MECHANICAL WORK</t>
  </si>
  <si>
    <t>ELECTRICAL WORK</t>
  </si>
  <si>
    <t>PLUMBING WORK</t>
  </si>
  <si>
    <t>PAINTING &amp; DECORATING</t>
  </si>
  <si>
    <t>DEFECTS</t>
  </si>
  <si>
    <t>SIGNAGE</t>
  </si>
  <si>
    <t>GARDENING CONTRACTS</t>
  </si>
  <si>
    <t>MAINTENANCE CONTRACT-SHORT TERM</t>
  </si>
  <si>
    <t>GROUND RENT AND SERVICE CHARGES</t>
  </si>
  <si>
    <t>CARPENTRY</t>
  </si>
  <si>
    <t>DRAINS</t>
  </si>
  <si>
    <t>FIRE ALARMS</t>
  </si>
  <si>
    <t>LIGHTING MAINTENANCE</t>
  </si>
  <si>
    <t>HV MAINTENANCE</t>
  </si>
  <si>
    <t>CHILLERS MAINTENANCE</t>
  </si>
  <si>
    <t>LIFT MAINTENANCE</t>
  </si>
  <si>
    <t>TANK MAINTENANCE</t>
  </si>
  <si>
    <t>FUME CUPBOARD MAINTENANCE</t>
  </si>
  <si>
    <t>ACCESS CONTROL</t>
  </si>
  <si>
    <t>AUTOCLAVE MAINTENANCE</t>
  </si>
  <si>
    <t>ELECTRICITY</t>
  </si>
  <si>
    <t>GAS</t>
  </si>
  <si>
    <t>OIL HEATING</t>
  </si>
  <si>
    <t>STEAM HEATING</t>
  </si>
  <si>
    <t>BUSINESS RATES / COUNCIL TAX</t>
  </si>
  <si>
    <t>LICENCES</t>
  </si>
  <si>
    <t>OFFICE &amp; LAB MOVES / REMOVAL EXPENSES</t>
  </si>
  <si>
    <t>RELOCATION (should go via payroll)</t>
  </si>
  <si>
    <t>HORTICULTURE</t>
  </si>
  <si>
    <t>UNION SUBVENTION</t>
  </si>
  <si>
    <t>SUBSIDIARY COMPANY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</si>
</sst>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_ ;\-#,##0.00\ "/>
    <numFmt numFmtId="166" formatCode="dd/mm/yy;@"/>
  </numFmts>
  <fonts count="31">
    <font>
      <sz val="11"/>
      <color theme="1"/>
      <name val="Calibri"/>
      <family val="2"/>
      <scheme val="minor"/>
    </font>
    <font>
      <sz val="11"/>
      <color indexed="8"/>
      <name val="Calibri"/>
      <family val="2"/>
    </font>
    <font>
      <sz val="8"/>
      <color indexed="8"/>
      <name val="Arial"/>
      <family val="2"/>
    </font>
    <font>
      <b/>
      <sz val="8"/>
      <color indexed="8"/>
      <name val="Arial"/>
      <family val="2"/>
    </font>
    <font>
      <sz val="9"/>
      <color indexed="8"/>
      <name val="Arial"/>
      <family val="2"/>
    </font>
    <font>
      <b/>
      <sz val="12"/>
      <color indexed="8"/>
      <name val="Arial"/>
      <family val="2"/>
    </font>
    <font>
      <b/>
      <sz val="11"/>
      <color indexed="8"/>
      <name val="Arial"/>
      <family val="2"/>
    </font>
    <font>
      <sz val="11"/>
      <color indexed="8"/>
      <name val="Arial"/>
      <family val="2"/>
    </font>
    <font>
      <sz val="8"/>
      <color indexed="8"/>
      <name val="Calibri"/>
      <family val="2"/>
    </font>
    <font>
      <sz val="10"/>
      <color indexed="8"/>
      <name val="Arial"/>
      <family val="2"/>
    </font>
    <font>
      <b/>
      <sz val="14"/>
      <color indexed="8"/>
      <name val="Arial"/>
      <family val="2"/>
    </font>
    <font>
      <sz val="10"/>
      <name val="Geneva"/>
    </font>
    <font>
      <sz val="10"/>
      <name val="Arial"/>
      <family val="2"/>
    </font>
    <font>
      <b/>
      <u/>
      <sz val="20"/>
      <name val="Arial"/>
      <family val="2"/>
    </font>
    <font>
      <sz val="12"/>
      <color indexed="8"/>
      <name val="Arial"/>
      <family val="2"/>
    </font>
    <font>
      <sz val="12"/>
      <name val="Arial"/>
      <family val="2"/>
    </font>
    <font>
      <b/>
      <sz val="12"/>
      <name val="Arial"/>
      <family val="2"/>
    </font>
    <font>
      <sz val="10"/>
      <color indexed="8"/>
      <name val="Calibri"/>
      <family val="2"/>
    </font>
    <font>
      <b/>
      <sz val="12"/>
      <color indexed="10"/>
      <name val="Arial"/>
      <family val="2"/>
    </font>
    <font>
      <b/>
      <sz val="13"/>
      <color indexed="8"/>
      <name val="Arial"/>
      <family val="2"/>
    </font>
    <font>
      <sz val="11"/>
      <name val="Arial"/>
      <family val="2"/>
    </font>
    <font>
      <b/>
      <sz val="14"/>
      <name val="Arial"/>
      <family val="2"/>
    </font>
    <font>
      <sz val="14"/>
      <color indexed="8"/>
      <name val="Arial"/>
      <family val="2"/>
    </font>
    <font>
      <sz val="8"/>
      <color theme="1"/>
      <name val="Arial"/>
      <family val="2"/>
    </font>
    <font>
      <sz val="12"/>
      <color theme="1"/>
      <name val="Arial"/>
      <family val="2"/>
    </font>
    <font>
      <b/>
      <sz val="13"/>
      <color theme="1"/>
      <name val="Arial"/>
      <family val="2"/>
    </font>
    <font>
      <sz val="11"/>
      <color theme="0"/>
      <name val="Arial"/>
      <family val="2"/>
    </font>
    <font>
      <b/>
      <sz val="11"/>
      <color theme="0"/>
      <name val="Arial"/>
      <family val="2"/>
    </font>
    <font>
      <sz val="14"/>
      <color theme="1"/>
      <name val="Arial"/>
      <family val="2"/>
    </font>
    <font>
      <b/>
      <sz val="14"/>
      <color theme="1"/>
      <name val="Arial"/>
      <family val="2"/>
    </font>
    <font>
      <b/>
      <sz val="16"/>
      <color theme="1"/>
      <name val="Arial"/>
      <family val="2"/>
    </font>
  </fonts>
  <fills count="11">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51"/>
        <bgColor indexed="64"/>
      </patternFill>
    </fill>
    <fill>
      <patternFill patternType="solid">
        <fgColor indexed="31"/>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0.249977111117893"/>
        <bgColor indexed="64"/>
      </patternFill>
    </fill>
    <fill>
      <patternFill patternType="solid">
        <fgColor theme="9" tint="0.79998168889431442"/>
        <bgColor indexed="64"/>
      </patternFill>
    </fill>
  </fills>
  <borders count="48">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ck">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style="thick">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ck">
        <color indexed="64"/>
      </right>
      <top style="thin">
        <color indexed="64"/>
      </top>
      <bottom style="thin">
        <color indexed="64"/>
      </bottom>
      <diagonal/>
    </border>
    <border>
      <left style="thick">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ck">
        <color indexed="64"/>
      </right>
      <top style="thin">
        <color indexed="64"/>
      </top>
      <bottom/>
      <diagonal/>
    </border>
    <border>
      <left/>
      <right style="thick">
        <color indexed="64"/>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thick">
        <color indexed="64"/>
      </left>
      <right/>
      <top style="hair">
        <color indexed="64"/>
      </top>
      <bottom style="thick">
        <color indexed="64"/>
      </bottom>
      <diagonal/>
    </border>
    <border>
      <left/>
      <right style="thin">
        <color indexed="64"/>
      </right>
      <top style="hair">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diagonal/>
    </border>
    <border>
      <left style="thick">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4">
    <xf numFmtId="0" fontId="0" fillId="0" borderId="0"/>
    <xf numFmtId="2" fontId="11" fillId="0" borderId="0"/>
    <xf numFmtId="164" fontId="1" fillId="0" borderId="0" applyFont="0" applyFill="0" applyBorder="0" applyAlignment="0" applyProtection="0"/>
    <xf numFmtId="0" fontId="12" fillId="0" borderId="0"/>
  </cellStyleXfs>
  <cellXfs count="276">
    <xf numFmtId="0" fontId="0" fillId="0" borderId="0" xfId="0"/>
    <xf numFmtId="0" fontId="2" fillId="0" borderId="0" xfId="0" applyFont="1" applyFill="1"/>
    <xf numFmtId="0" fontId="4" fillId="0" borderId="0" xfId="0" applyFont="1" applyFill="1"/>
    <xf numFmtId="0" fontId="3" fillId="2" borderId="0" xfId="0" applyFont="1" applyFill="1" applyBorder="1"/>
    <xf numFmtId="0" fontId="13" fillId="0" borderId="0" xfId="3" applyFont="1" applyFill="1" applyBorder="1" applyAlignment="1">
      <alignment horizontal="left"/>
    </xf>
    <xf numFmtId="0" fontId="14" fillId="0" borderId="0" xfId="0" applyFont="1" applyFill="1"/>
    <xf numFmtId="0" fontId="16" fillId="0" borderId="0" xfId="3" quotePrefix="1" applyNumberFormat="1" applyFont="1" applyFill="1" applyBorder="1" applyAlignment="1">
      <alignment horizontal="left"/>
    </xf>
    <xf numFmtId="0" fontId="16" fillId="0" borderId="0" xfId="3" applyFont="1" applyFill="1" applyBorder="1"/>
    <xf numFmtId="0" fontId="16" fillId="0" borderId="0" xfId="3" applyFont="1" applyFill="1" applyBorder="1" applyAlignment="1">
      <alignment horizontal="left"/>
    </xf>
    <xf numFmtId="0" fontId="15" fillId="0" borderId="0" xfId="3" applyFont="1" applyFill="1" applyBorder="1"/>
    <xf numFmtId="0" fontId="14" fillId="0" borderId="0" xfId="3" applyFont="1" applyFill="1" applyBorder="1"/>
    <xf numFmtId="0" fontId="15" fillId="0" borderId="0" xfId="3" applyFont="1" applyFill="1" applyBorder="1" applyAlignment="1">
      <alignment vertical="top"/>
    </xf>
    <xf numFmtId="0" fontId="5" fillId="0" borderId="0" xfId="0" applyFont="1" applyFill="1"/>
    <xf numFmtId="0" fontId="5" fillId="0" borderId="0" xfId="0" applyFont="1" applyFill="1" applyAlignment="1">
      <alignment horizontal="left"/>
    </xf>
    <xf numFmtId="0" fontId="18" fillId="0" borderId="0" xfId="0" applyFont="1" applyFill="1"/>
    <xf numFmtId="0" fontId="15" fillId="0" borderId="0" xfId="3" applyFont="1"/>
    <xf numFmtId="0" fontId="12" fillId="0" borderId="0" xfId="3" applyFont="1" applyFill="1" applyBorder="1"/>
    <xf numFmtId="9" fontId="2" fillId="2" borderId="0" xfId="0" applyNumberFormat="1" applyFont="1" applyFill="1" applyBorder="1" applyAlignment="1">
      <alignment horizontal="left"/>
    </xf>
    <xf numFmtId="0" fontId="14" fillId="2" borderId="1" xfId="0" applyFont="1" applyFill="1" applyBorder="1" applyProtection="1">
      <protection locked="0"/>
    </xf>
    <xf numFmtId="0" fontId="7" fillId="0" borderId="2" xfId="0" applyFont="1" applyFill="1" applyBorder="1" applyAlignment="1" applyProtection="1">
      <alignment horizontal="center" vertical="center" wrapText="1"/>
      <protection locked="0"/>
    </xf>
    <xf numFmtId="0" fontId="7" fillId="2" borderId="2" xfId="0" applyFont="1" applyFill="1" applyBorder="1" applyAlignment="1" applyProtection="1">
      <alignment horizontal="center"/>
      <protection locked="0"/>
    </xf>
    <xf numFmtId="0" fontId="15" fillId="0" borderId="0" xfId="3" applyFont="1" applyFill="1" applyBorder="1" applyAlignment="1">
      <alignment horizontal="left"/>
    </xf>
    <xf numFmtId="0" fontId="2" fillId="2" borderId="0" xfId="0" applyFont="1" applyFill="1" applyAlignment="1" applyProtection="1">
      <alignment horizontal="center"/>
    </xf>
    <xf numFmtId="0" fontId="2" fillId="2" borderId="3" xfId="0" applyFont="1" applyFill="1" applyBorder="1" applyAlignment="1" applyProtection="1">
      <alignment horizontal="center"/>
    </xf>
    <xf numFmtId="0" fontId="2" fillId="2" borderId="4" xfId="0" applyFont="1" applyFill="1" applyBorder="1" applyAlignment="1" applyProtection="1">
      <alignment horizontal="center"/>
    </xf>
    <xf numFmtId="0" fontId="2" fillId="2" borderId="5" xfId="0" applyFont="1" applyFill="1" applyBorder="1" applyAlignment="1" applyProtection="1">
      <alignment horizontal="center"/>
    </xf>
    <xf numFmtId="0" fontId="2" fillId="2" borderId="0" xfId="0" applyFont="1" applyFill="1" applyProtection="1"/>
    <xf numFmtId="0" fontId="2" fillId="0" borderId="0" xfId="0" applyFont="1" applyFill="1" applyProtection="1"/>
    <xf numFmtId="0" fontId="2" fillId="2" borderId="6" xfId="0" applyFont="1" applyFill="1" applyBorder="1" applyAlignment="1" applyProtection="1">
      <alignment horizontal="center"/>
    </xf>
    <xf numFmtId="0" fontId="2" fillId="2" borderId="7" xfId="0" applyFont="1" applyFill="1" applyBorder="1" applyAlignment="1" applyProtection="1">
      <alignment horizontal="center"/>
    </xf>
    <xf numFmtId="0" fontId="2" fillId="2" borderId="8" xfId="0" applyFont="1" applyFill="1" applyBorder="1" applyAlignment="1" applyProtection="1">
      <alignment horizontal="center"/>
    </xf>
    <xf numFmtId="0" fontId="23" fillId="6" borderId="6" xfId="0" applyFont="1" applyFill="1" applyBorder="1" applyAlignment="1" applyProtection="1">
      <alignment wrapText="1"/>
    </xf>
    <xf numFmtId="0" fontId="23" fillId="6" borderId="7" xfId="0" applyFont="1" applyFill="1" applyBorder="1" applyAlignment="1" applyProtection="1">
      <alignment wrapText="1"/>
    </xf>
    <xf numFmtId="0" fontId="4" fillId="2" borderId="9" xfId="0" applyFont="1" applyFill="1" applyBorder="1" applyAlignment="1" applyProtection="1">
      <alignment horizontal="center"/>
    </xf>
    <xf numFmtId="0" fontId="4" fillId="2" borderId="0" xfId="0" applyFont="1" applyFill="1" applyProtection="1"/>
    <xf numFmtId="0" fontId="4" fillId="0" borderId="0" xfId="0" applyFont="1" applyFill="1" applyProtection="1"/>
    <xf numFmtId="0" fontId="13" fillId="0" borderId="0" xfId="3" applyFont="1" applyFill="1" applyBorder="1" applyAlignment="1" applyProtection="1">
      <alignment horizontal="left"/>
    </xf>
    <xf numFmtId="0" fontId="14" fillId="2" borderId="9" xfId="0" applyFont="1" applyFill="1" applyBorder="1" applyAlignment="1" applyProtection="1">
      <alignment horizontal="center"/>
    </xf>
    <xf numFmtId="0" fontId="14" fillId="2" borderId="10" xfId="0" applyFont="1" applyFill="1" applyBorder="1" applyAlignment="1" applyProtection="1"/>
    <xf numFmtId="14" fontId="14" fillId="2" borderId="11" xfId="0" applyNumberFormat="1" applyFont="1" applyFill="1" applyBorder="1" applyAlignment="1" applyProtection="1">
      <alignment vertical="top" wrapText="1"/>
    </xf>
    <xf numFmtId="0" fontId="14" fillId="2" borderId="0" xfId="0" applyFont="1" applyFill="1" applyProtection="1"/>
    <xf numFmtId="0" fontId="14" fillId="0" borderId="0" xfId="0" applyFont="1" applyFill="1" applyProtection="1"/>
    <xf numFmtId="0" fontId="4" fillId="2" borderId="0" xfId="0" applyFont="1" applyFill="1" applyBorder="1" applyProtection="1"/>
    <xf numFmtId="0" fontId="12" fillId="0" borderId="0" xfId="3" applyFont="1"/>
    <xf numFmtId="0" fontId="12" fillId="0" borderId="0" xfId="3" applyFont="1" applyProtection="1"/>
    <xf numFmtId="0" fontId="24" fillId="6" borderId="12" xfId="0" applyFont="1" applyFill="1" applyBorder="1" applyAlignment="1" applyProtection="1">
      <alignment horizontal="right"/>
    </xf>
    <xf numFmtId="0" fontId="25" fillId="6" borderId="13" xfId="0" applyFont="1" applyFill="1" applyBorder="1" applyAlignment="1" applyProtection="1">
      <protection locked="0"/>
    </xf>
    <xf numFmtId="0" fontId="12" fillId="0" borderId="0" xfId="3" applyFont="1" applyFill="1" applyBorder="1" applyProtection="1"/>
    <xf numFmtId="0" fontId="2" fillId="2" borderId="9" xfId="0" applyFont="1" applyFill="1" applyBorder="1" applyProtection="1"/>
    <xf numFmtId="0" fontId="16" fillId="0" borderId="0" xfId="3" applyFont="1" applyFill="1" applyBorder="1" applyProtection="1"/>
    <xf numFmtId="0" fontId="7" fillId="2" borderId="14" xfId="0"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166" fontId="7" fillId="2" borderId="14" xfId="0" applyNumberFormat="1" applyFont="1" applyFill="1" applyBorder="1" applyAlignment="1" applyProtection="1">
      <alignment horizontal="center"/>
      <protection locked="0"/>
    </xf>
    <xf numFmtId="2" fontId="7" fillId="2" borderId="2" xfId="0" applyNumberFormat="1" applyFont="1" applyFill="1" applyBorder="1" applyAlignment="1" applyProtection="1">
      <alignment horizontal="right"/>
      <protection locked="0"/>
    </xf>
    <xf numFmtId="2" fontId="26" fillId="2" borderId="2" xfId="0" applyNumberFormat="1" applyFont="1" applyFill="1" applyBorder="1" applyAlignment="1" applyProtection="1">
      <alignment horizontal="right"/>
      <protection locked="0"/>
    </xf>
    <xf numFmtId="164" fontId="21" fillId="7" borderId="2" xfId="0" applyNumberFormat="1" applyFont="1" applyFill="1" applyBorder="1" applyAlignment="1" applyProtection="1">
      <alignment vertical="center"/>
    </xf>
    <xf numFmtId="0" fontId="15" fillId="0" borderId="0" xfId="3" applyFont="1" applyFill="1" applyBorder="1" applyProtection="1"/>
    <xf numFmtId="0" fontId="2" fillId="2" borderId="0" xfId="0" applyFont="1" applyFill="1" applyBorder="1" applyProtection="1"/>
    <xf numFmtId="164" fontId="22" fillId="7" borderId="15" xfId="2" applyFont="1" applyFill="1" applyBorder="1" applyAlignment="1" applyProtection="1">
      <alignment horizontal="right"/>
    </xf>
    <xf numFmtId="164" fontId="6" fillId="2" borderId="0" xfId="0" applyNumberFormat="1" applyFont="1" applyFill="1" applyBorder="1" applyProtection="1"/>
    <xf numFmtId="164" fontId="10" fillId="2" borderId="0" xfId="0" applyNumberFormat="1" applyFont="1" applyFill="1" applyBorder="1" applyProtection="1"/>
    <xf numFmtId="164" fontId="10" fillId="7" borderId="2" xfId="2" applyFont="1" applyFill="1" applyBorder="1" applyAlignment="1" applyProtection="1">
      <alignment horizontal="right" vertical="center"/>
    </xf>
    <xf numFmtId="0" fontId="8" fillId="0" borderId="0" xfId="0" applyFont="1" applyFill="1"/>
    <xf numFmtId="0" fontId="7" fillId="2" borderId="7" xfId="0" applyFont="1" applyFill="1" applyBorder="1" applyAlignment="1" applyProtection="1">
      <alignment horizontal="center" vertical="center"/>
    </xf>
    <xf numFmtId="164" fontId="7" fillId="2" borderId="0" xfId="0" applyNumberFormat="1" applyFont="1" applyFill="1" applyBorder="1" applyAlignment="1" applyProtection="1"/>
    <xf numFmtId="0" fontId="7" fillId="2" borderId="11" xfId="0" applyFont="1" applyFill="1" applyBorder="1" applyProtection="1"/>
    <xf numFmtId="0" fontId="7" fillId="2" borderId="0" xfId="0" applyFont="1" applyFill="1" applyProtection="1"/>
    <xf numFmtId="0" fontId="0" fillId="8" borderId="0" xfId="0" applyFill="1"/>
    <xf numFmtId="0" fontId="6" fillId="3" borderId="16" xfId="0" applyFont="1" applyFill="1" applyBorder="1" applyAlignment="1" applyProtection="1"/>
    <xf numFmtId="0" fontId="6" fillId="3" borderId="11" xfId="0" applyFont="1" applyFill="1" applyBorder="1" applyAlignment="1" applyProtection="1"/>
    <xf numFmtId="0" fontId="6" fillId="3" borderId="14" xfId="0" applyFont="1" applyFill="1" applyBorder="1" applyAlignment="1" applyProtection="1"/>
    <xf numFmtId="0" fontId="7" fillId="7" borderId="2" xfId="0" applyFont="1" applyFill="1" applyBorder="1" applyAlignment="1" applyProtection="1">
      <alignment horizontal="center" vertical="center" wrapText="1"/>
    </xf>
    <xf numFmtId="2" fontId="7" fillId="7" borderId="2" xfId="0" applyNumberFormat="1" applyFont="1" applyFill="1" applyBorder="1" applyAlignment="1" applyProtection="1">
      <alignment horizontal="right"/>
    </xf>
    <xf numFmtId="164" fontId="22" fillId="7" borderId="2" xfId="2" applyFont="1" applyFill="1" applyBorder="1" applyAlignment="1" applyProtection="1">
      <alignment horizontal="right"/>
    </xf>
    <xf numFmtId="164" fontId="6" fillId="2" borderId="17" xfId="0" applyNumberFormat="1" applyFont="1" applyFill="1" applyBorder="1" applyProtection="1"/>
    <xf numFmtId="0" fontId="9" fillId="0" borderId="14"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2" fontId="27" fillId="2" borderId="2" xfId="0" applyNumberFormat="1" applyFont="1" applyFill="1" applyBorder="1" applyAlignment="1" applyProtection="1">
      <alignment horizontal="right"/>
      <protection locked="0"/>
    </xf>
    <xf numFmtId="164" fontId="6" fillId="2" borderId="4" xfId="0" applyNumberFormat="1" applyFont="1" applyFill="1" applyBorder="1" applyProtection="1"/>
    <xf numFmtId="164" fontId="10" fillId="2" borderId="4" xfId="0" applyNumberFormat="1" applyFont="1" applyFill="1" applyBorder="1" applyAlignment="1" applyProtection="1">
      <alignment vertical="center"/>
    </xf>
    <xf numFmtId="0" fontId="9" fillId="0" borderId="16" xfId="0" applyFont="1" applyFill="1" applyBorder="1" applyAlignment="1" applyProtection="1">
      <alignment horizontal="center" vertical="center" wrapText="1"/>
    </xf>
    <xf numFmtId="166" fontId="9" fillId="2" borderId="14" xfId="0" applyNumberFormat="1" applyFont="1" applyFill="1" applyBorder="1" applyAlignment="1" applyProtection="1">
      <alignment horizontal="center"/>
      <protection locked="0"/>
    </xf>
    <xf numFmtId="0" fontId="2" fillId="2" borderId="18" xfId="0" applyFont="1" applyFill="1" applyBorder="1" applyProtection="1"/>
    <xf numFmtId="164" fontId="10" fillId="7" borderId="2" xfId="0" applyNumberFormat="1" applyFont="1" applyFill="1" applyBorder="1" applyAlignment="1" applyProtection="1">
      <alignment vertical="center"/>
    </xf>
    <xf numFmtId="0" fontId="2" fillId="2" borderId="7" xfId="0" applyFont="1" applyFill="1" applyBorder="1" applyAlignment="1" applyProtection="1"/>
    <xf numFmtId="0" fontId="0" fillId="0" borderId="11" xfId="0" applyBorder="1" applyAlignment="1" applyProtection="1"/>
    <xf numFmtId="0" fontId="7" fillId="0" borderId="0" xfId="0" applyFont="1" applyFill="1" applyBorder="1" applyAlignment="1" applyProtection="1">
      <alignment horizontal="center"/>
    </xf>
    <xf numFmtId="0" fontId="7" fillId="2" borderId="0" xfId="0" applyFont="1" applyFill="1" applyBorder="1" applyAlignment="1" applyProtection="1">
      <alignment horizontal="center"/>
    </xf>
    <xf numFmtId="0" fontId="7" fillId="2" borderId="0" xfId="0" applyFont="1" applyFill="1" applyBorder="1" applyProtection="1"/>
    <xf numFmtId="164" fontId="22" fillId="7" borderId="2" xfId="2" applyFont="1" applyFill="1" applyBorder="1" applyProtection="1"/>
    <xf numFmtId="0" fontId="2" fillId="2" borderId="0" xfId="0" applyFont="1" applyFill="1" applyBorder="1" applyAlignment="1" applyProtection="1">
      <alignment horizontal="center"/>
    </xf>
    <xf numFmtId="164" fontId="10" fillId="7" borderId="2" xfId="2" applyFont="1" applyFill="1" applyBorder="1" applyProtection="1"/>
    <xf numFmtId="0" fontId="15" fillId="0" borderId="0" xfId="3" applyFont="1" applyProtection="1"/>
    <xf numFmtId="0" fontId="0" fillId="6" borderId="19" xfId="0" applyFill="1" applyBorder="1" applyAlignment="1" applyProtection="1"/>
    <xf numFmtId="0" fontId="0" fillId="6" borderId="20" xfId="0" applyFill="1" applyBorder="1" applyAlignment="1" applyProtection="1"/>
    <xf numFmtId="165" fontId="22" fillId="6" borderId="21" xfId="0" applyNumberFormat="1" applyFont="1" applyFill="1" applyBorder="1" applyProtection="1">
      <protection locked="0"/>
    </xf>
    <xf numFmtId="164" fontId="10" fillId="7" borderId="21" xfId="2" applyFont="1" applyFill="1" applyBorder="1" applyProtection="1"/>
    <xf numFmtId="164" fontId="22" fillId="7" borderId="22" xfId="2" applyFont="1" applyFill="1" applyBorder="1" applyProtection="1"/>
    <xf numFmtId="164" fontId="10" fillId="7" borderId="22" xfId="2" applyFont="1" applyFill="1" applyBorder="1" applyProtection="1"/>
    <xf numFmtId="0" fontId="2" fillId="6" borderId="7" xfId="0" applyFont="1" applyFill="1" applyBorder="1" applyProtection="1"/>
    <xf numFmtId="0" fontId="2" fillId="6" borderId="0" xfId="0" applyFont="1" applyFill="1" applyProtection="1"/>
    <xf numFmtId="0" fontId="2" fillId="6" borderId="17" xfId="0" applyFont="1" applyFill="1" applyBorder="1" applyAlignment="1" applyProtection="1"/>
    <xf numFmtId="0" fontId="0" fillId="6" borderId="0" xfId="0" applyFill="1" applyBorder="1" applyAlignment="1" applyProtection="1"/>
    <xf numFmtId="0" fontId="3" fillId="6" borderId="17" xfId="0" applyFont="1" applyFill="1" applyBorder="1" applyAlignment="1" applyProtection="1">
      <alignment horizontal="right"/>
    </xf>
    <xf numFmtId="0" fontId="2" fillId="6" borderId="17" xfId="0" applyFont="1" applyFill="1" applyBorder="1" applyProtection="1"/>
    <xf numFmtId="0" fontId="2" fillId="6" borderId="3" xfId="0" applyFont="1" applyFill="1" applyBorder="1" applyAlignment="1" applyProtection="1"/>
    <xf numFmtId="0" fontId="0" fillId="6" borderId="4" xfId="0" applyFill="1" applyBorder="1" applyAlignment="1" applyProtection="1"/>
    <xf numFmtId="0" fontId="3" fillId="6" borderId="15" xfId="0" applyFont="1" applyFill="1" applyBorder="1" applyAlignment="1" applyProtection="1">
      <alignment horizontal="right"/>
    </xf>
    <xf numFmtId="0" fontId="2" fillId="6" borderId="17" xfId="0" applyFont="1" applyFill="1" applyBorder="1" applyAlignment="1" applyProtection="1">
      <alignment vertical="top"/>
    </xf>
    <xf numFmtId="0" fontId="2" fillId="6" borderId="0" xfId="0" applyFont="1" applyFill="1" applyBorder="1" applyAlignment="1" applyProtection="1">
      <alignment vertical="top"/>
    </xf>
    <xf numFmtId="0" fontId="2" fillId="6" borderId="9" xfId="0" applyFont="1" applyFill="1" applyBorder="1" applyAlignment="1" applyProtection="1">
      <alignment vertical="top"/>
    </xf>
    <xf numFmtId="0" fontId="2" fillId="6" borderId="6" xfId="0" applyFont="1" applyFill="1" applyBorder="1" applyAlignment="1" applyProtection="1"/>
    <xf numFmtId="0" fontId="0" fillId="6" borderId="7" xfId="0" applyFill="1" applyBorder="1" applyAlignment="1" applyProtection="1">
      <alignment horizontal="right"/>
    </xf>
    <xf numFmtId="0" fontId="28" fillId="6" borderId="8" xfId="0" applyFont="1" applyFill="1" applyBorder="1" applyAlignment="1" applyProtection="1">
      <protection locked="0"/>
    </xf>
    <xf numFmtId="0" fontId="2" fillId="6" borderId="16" xfId="0" applyFont="1" applyFill="1" applyBorder="1" applyAlignment="1" applyProtection="1">
      <alignment horizontal="left"/>
    </xf>
    <xf numFmtId="0" fontId="2" fillId="6" borderId="11" xfId="0" applyFont="1" applyFill="1" applyBorder="1" applyAlignment="1" applyProtection="1">
      <alignment horizontal="left"/>
    </xf>
    <xf numFmtId="0" fontId="22" fillId="6" borderId="8" xfId="0" applyFont="1" applyFill="1" applyBorder="1" applyAlignment="1" applyProtection="1">
      <protection locked="0"/>
    </xf>
    <xf numFmtId="0" fontId="2" fillId="6" borderId="3" xfId="0" applyFont="1" applyFill="1" applyBorder="1" applyAlignment="1" applyProtection="1">
      <alignment vertical="center"/>
    </xf>
    <xf numFmtId="0" fontId="2" fillId="6" borderId="0" xfId="0" applyFont="1" applyFill="1" applyBorder="1" applyAlignment="1" applyProtection="1">
      <alignment vertical="center"/>
    </xf>
    <xf numFmtId="0" fontId="2" fillId="6" borderId="9" xfId="0" applyFont="1" applyFill="1" applyBorder="1" applyAlignment="1" applyProtection="1">
      <alignment vertical="center"/>
    </xf>
    <xf numFmtId="0" fontId="2" fillId="6" borderId="17" xfId="0" applyFont="1" applyFill="1" applyBorder="1" applyAlignment="1" applyProtection="1">
      <alignment vertical="center"/>
    </xf>
    <xf numFmtId="0" fontId="2" fillId="6" borderId="11" xfId="0" applyFont="1" applyFill="1" applyBorder="1" applyAlignment="1" applyProtection="1"/>
    <xf numFmtId="0" fontId="2" fillId="6" borderId="0" xfId="0" applyFont="1" applyFill="1" applyBorder="1" applyAlignment="1" applyProtection="1"/>
    <xf numFmtId="0" fontId="2" fillId="6" borderId="4" xfId="0" applyFont="1" applyFill="1" applyBorder="1" applyAlignment="1" applyProtection="1"/>
    <xf numFmtId="0" fontId="2" fillId="6" borderId="6" xfId="0" applyFont="1" applyFill="1" applyBorder="1" applyAlignment="1" applyProtection="1">
      <alignment vertical="center"/>
    </xf>
    <xf numFmtId="0" fontId="2" fillId="6" borderId="7" xfId="0" applyFont="1" applyFill="1" applyBorder="1" applyAlignment="1" applyProtection="1">
      <alignment vertical="center"/>
    </xf>
    <xf numFmtId="0" fontId="2" fillId="6" borderId="8" xfId="0" applyFont="1" applyFill="1" applyBorder="1" applyAlignment="1" applyProtection="1">
      <alignment vertical="center"/>
    </xf>
    <xf numFmtId="0" fontId="2" fillId="2" borderId="16" xfId="0" applyNumberFormat="1" applyFont="1" applyFill="1" applyBorder="1" applyAlignment="1" applyProtection="1">
      <alignment vertical="center" textRotation="180" wrapText="1"/>
    </xf>
    <xf numFmtId="0" fontId="7" fillId="2" borderId="16" xfId="0" applyFont="1" applyFill="1" applyBorder="1" applyAlignment="1" applyProtection="1">
      <alignment horizontal="center" vertical="center" wrapText="1"/>
    </xf>
    <xf numFmtId="166" fontId="7" fillId="2" borderId="2" xfId="0" applyNumberFormat="1" applyFont="1" applyFill="1" applyBorder="1" applyAlignment="1" applyProtection="1">
      <protection locked="0"/>
    </xf>
    <xf numFmtId="166" fontId="2" fillId="2" borderId="14" xfId="0" applyNumberFormat="1" applyFont="1" applyFill="1" applyBorder="1" applyAlignment="1" applyProtection="1">
      <alignment horizontal="center"/>
      <protection locked="0"/>
    </xf>
    <xf numFmtId="0" fontId="2" fillId="2" borderId="2" xfId="0" applyNumberFormat="1" applyFont="1" applyFill="1" applyBorder="1" applyAlignment="1" applyProtection="1">
      <alignment vertical="center" textRotation="180" wrapText="1"/>
    </xf>
    <xf numFmtId="0" fontId="7" fillId="0" borderId="2" xfId="0" applyFont="1" applyFill="1" applyBorder="1" applyAlignment="1" applyProtection="1">
      <alignment horizontal="center"/>
      <protection locked="0"/>
    </xf>
    <xf numFmtId="164" fontId="22" fillId="7" borderId="2" xfId="0" applyNumberFormat="1" applyFont="1" applyFill="1" applyBorder="1" applyAlignment="1" applyProtection="1">
      <alignment horizontal="right"/>
    </xf>
    <xf numFmtId="0" fontId="23" fillId="6" borderId="8" xfId="0" applyFont="1" applyFill="1" applyBorder="1" applyAlignment="1" applyProtection="1">
      <alignment horizontal="right" wrapText="1"/>
    </xf>
    <xf numFmtId="0" fontId="14" fillId="0" borderId="0" xfId="0" applyFont="1" applyFill="1" applyProtection="1">
      <protection locked="0"/>
    </xf>
    <xf numFmtId="0" fontId="2" fillId="6" borderId="7" xfId="0" applyFont="1" applyFill="1" applyBorder="1" applyAlignment="1" applyProtection="1">
      <alignment horizontal="left"/>
    </xf>
    <xf numFmtId="0" fontId="2" fillId="6" borderId="7" xfId="0" applyFont="1" applyFill="1" applyBorder="1" applyAlignment="1" applyProtection="1"/>
    <xf numFmtId="0" fontId="7" fillId="2" borderId="16" xfId="0" applyFont="1" applyFill="1" applyBorder="1" applyAlignment="1" applyProtection="1">
      <alignment horizontal="center" vertical="center"/>
    </xf>
    <xf numFmtId="0" fontId="20" fillId="7" borderId="14" xfId="0" applyFont="1" applyFill="1" applyBorder="1" applyAlignment="1" applyProtection="1">
      <alignment horizontal="center" vertical="center" wrapText="1"/>
    </xf>
    <xf numFmtId="0" fontId="2" fillId="2" borderId="14" xfId="0" applyNumberFormat="1" applyFont="1" applyFill="1" applyBorder="1" applyAlignment="1" applyProtection="1">
      <alignment horizontal="center"/>
      <protection locked="0"/>
    </xf>
    <xf numFmtId="0" fontId="7" fillId="2" borderId="14" xfId="0" applyNumberFormat="1" applyFont="1" applyFill="1" applyBorder="1" applyAlignment="1" applyProtection="1">
      <alignment horizontal="center"/>
      <protection locked="0"/>
    </xf>
    <xf numFmtId="0" fontId="9" fillId="0" borderId="2" xfId="0" applyFont="1" applyFill="1" applyBorder="1" applyAlignment="1" applyProtection="1">
      <alignment horizontal="center" vertical="center" wrapText="1"/>
    </xf>
    <xf numFmtId="0" fontId="7" fillId="2" borderId="2" xfId="0" applyFont="1" applyFill="1" applyBorder="1" applyAlignment="1" applyProtection="1">
      <alignment horizontal="center" vertical="center" wrapText="1"/>
    </xf>
    <xf numFmtId="0" fontId="15" fillId="0" borderId="0" xfId="3" applyFont="1" applyFill="1" applyBorder="1" applyAlignment="1" applyProtection="1">
      <alignment horizontal="left"/>
    </xf>
    <xf numFmtId="0" fontId="10" fillId="2" borderId="17" xfId="0" applyFont="1" applyFill="1" applyBorder="1" applyAlignment="1" applyProtection="1">
      <alignment horizontal="center" vertical="center" wrapText="1"/>
      <protection locked="0"/>
    </xf>
    <xf numFmtId="0" fontId="10" fillId="2" borderId="0" xfId="0" applyFont="1" applyFill="1" applyBorder="1" applyAlignment="1" applyProtection="1">
      <alignment horizontal="center" vertical="center" wrapText="1"/>
      <protection locked="0"/>
    </xf>
    <xf numFmtId="0" fontId="10" fillId="2" borderId="44" xfId="0" applyFont="1" applyFill="1" applyBorder="1" applyAlignment="1" applyProtection="1">
      <alignment horizontal="center" vertical="center" wrapText="1"/>
      <protection locked="0"/>
    </xf>
    <xf numFmtId="0" fontId="10" fillId="2" borderId="6"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32" xfId="0" applyFont="1" applyFill="1" applyBorder="1" applyAlignment="1" applyProtection="1">
      <alignment horizontal="center" vertical="center" wrapText="1"/>
      <protection locked="0"/>
    </xf>
    <xf numFmtId="0" fontId="14" fillId="2" borderId="45" xfId="0" applyFont="1" applyFill="1" applyBorder="1" applyAlignment="1" applyProtection="1">
      <alignment horizontal="left" vertical="top" wrapText="1"/>
    </xf>
    <xf numFmtId="0" fontId="0" fillId="0" borderId="46" xfId="0" applyFont="1" applyBorder="1" applyAlignment="1"/>
    <xf numFmtId="0" fontId="0" fillId="0" borderId="47" xfId="0" applyFont="1" applyBorder="1" applyAlignment="1"/>
    <xf numFmtId="0" fontId="14" fillId="2" borderId="11" xfId="0" applyFont="1" applyFill="1" applyBorder="1" applyAlignment="1" applyProtection="1">
      <alignment horizontal="left" wrapText="1"/>
    </xf>
    <xf numFmtId="0" fontId="5" fillId="2" borderId="11" xfId="0" applyFont="1" applyFill="1" applyBorder="1" applyAlignment="1" applyProtection="1">
      <alignment horizontal="left" wrapText="1"/>
      <protection locked="0"/>
    </xf>
    <xf numFmtId="0" fontId="5" fillId="2" borderId="27" xfId="0" applyFont="1" applyFill="1" applyBorder="1" applyAlignment="1" applyProtection="1">
      <alignment horizontal="left" wrapText="1"/>
      <protection locked="0"/>
    </xf>
    <xf numFmtId="14" fontId="29" fillId="0" borderId="11" xfId="0" applyNumberFormat="1" applyFont="1" applyBorder="1" applyAlignment="1" applyProtection="1">
      <alignment horizontal="center"/>
      <protection locked="0"/>
    </xf>
    <xf numFmtId="0" fontId="29" fillId="0" borderId="14" xfId="0" applyFont="1" applyBorder="1" applyAlignment="1" applyProtection="1">
      <alignment horizontal="center"/>
      <protection locked="0"/>
    </xf>
    <xf numFmtId="0" fontId="14" fillId="2" borderId="16" xfId="0" applyFont="1" applyFill="1" applyBorder="1" applyAlignment="1" applyProtection="1">
      <alignment horizontal="left"/>
    </xf>
    <xf numFmtId="0" fontId="14" fillId="2" borderId="11" xfId="0" applyFont="1" applyFill="1" applyBorder="1" applyAlignment="1" applyProtection="1">
      <alignment horizontal="left"/>
    </xf>
    <xf numFmtId="0" fontId="2" fillId="2" borderId="3" xfId="0" applyFont="1" applyFill="1" applyBorder="1" applyAlignment="1" applyProtection="1">
      <alignment horizontal="center" vertical="center" wrapText="1"/>
    </xf>
    <xf numFmtId="0" fontId="2" fillId="2" borderId="4"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5" fillId="2" borderId="3" xfId="0" applyFont="1" applyFill="1" applyBorder="1" applyAlignment="1" applyProtection="1">
      <alignment horizontal="right" vertical="top" wrapText="1"/>
    </xf>
    <xf numFmtId="0" fontId="5" fillId="2" borderId="4" xfId="0" applyFont="1" applyFill="1" applyBorder="1" applyAlignment="1" applyProtection="1">
      <alignment horizontal="right" vertical="top" wrapText="1"/>
    </xf>
    <xf numFmtId="0" fontId="5" fillId="2" borderId="5" xfId="0" applyFont="1" applyFill="1" applyBorder="1" applyAlignment="1" applyProtection="1">
      <alignment horizontal="right" vertical="top" wrapText="1"/>
    </xf>
    <xf numFmtId="0" fontId="24" fillId="6" borderId="16" xfId="0" applyFont="1" applyFill="1" applyBorder="1" applyAlignment="1" applyProtection="1">
      <alignment horizontal="right" vertical="center" wrapText="1"/>
    </xf>
    <xf numFmtId="0" fontId="24" fillId="6" borderId="11" xfId="0" applyFont="1" applyFill="1" applyBorder="1" applyAlignment="1" applyProtection="1">
      <alignment horizontal="right" vertical="center" wrapText="1"/>
    </xf>
    <xf numFmtId="0" fontId="29" fillId="6" borderId="4" xfId="0" applyFont="1" applyFill="1" applyBorder="1" applyAlignment="1" applyProtection="1">
      <alignment horizontal="left" vertical="center" wrapText="1"/>
      <protection locked="0"/>
    </xf>
    <xf numFmtId="0" fontId="29" fillId="6" borderId="5" xfId="0" applyFont="1" applyFill="1" applyBorder="1" applyAlignment="1" applyProtection="1">
      <alignment horizontal="left" vertical="center" wrapText="1"/>
      <protection locked="0"/>
    </xf>
    <xf numFmtId="0" fontId="23" fillId="6" borderId="33" xfId="0" applyFont="1" applyFill="1" applyBorder="1" applyAlignment="1" applyProtection="1">
      <alignment horizontal="center" wrapText="1"/>
    </xf>
    <xf numFmtId="0" fontId="23" fillId="6" borderId="34" xfId="0" applyFont="1" applyFill="1" applyBorder="1" applyAlignment="1" applyProtection="1">
      <alignment horizontal="center" wrapText="1"/>
    </xf>
    <xf numFmtId="0" fontId="23" fillId="6" borderId="35" xfId="0" applyFont="1" applyFill="1" applyBorder="1" applyAlignment="1" applyProtection="1">
      <alignment horizontal="center" wrapText="1"/>
    </xf>
    <xf numFmtId="0" fontId="14" fillId="2" borderId="17" xfId="0" applyFont="1" applyFill="1" applyBorder="1" applyAlignment="1" applyProtection="1">
      <alignment horizontal="left" wrapText="1"/>
    </xf>
    <xf numFmtId="0" fontId="14" fillId="2" borderId="0" xfId="0" applyFont="1" applyFill="1" applyBorder="1" applyAlignment="1" applyProtection="1">
      <alignment horizontal="left" wrapText="1"/>
    </xf>
    <xf numFmtId="0" fontId="14" fillId="2" borderId="33" xfId="0" applyFont="1" applyFill="1" applyBorder="1" applyAlignment="1" applyProtection="1">
      <alignment horizontal="left" wrapText="1"/>
    </xf>
    <xf numFmtId="0" fontId="14" fillId="2" borderId="34" xfId="0" applyFont="1" applyFill="1" applyBorder="1" applyAlignment="1" applyProtection="1">
      <alignment horizontal="left" wrapText="1"/>
    </xf>
    <xf numFmtId="49" fontId="10" fillId="2" borderId="4" xfId="0" applyNumberFormat="1" applyFont="1" applyFill="1" applyBorder="1" applyAlignment="1" applyProtection="1">
      <alignment horizontal="center" wrapText="1"/>
      <protection locked="0"/>
    </xf>
    <xf numFmtId="49" fontId="10" fillId="2" borderId="31" xfId="0" applyNumberFormat="1" applyFont="1" applyFill="1" applyBorder="1" applyAlignment="1" applyProtection="1">
      <alignment horizontal="center" wrapText="1"/>
      <protection locked="0"/>
    </xf>
    <xf numFmtId="49" fontId="10" fillId="2" borderId="34" xfId="0" applyNumberFormat="1" applyFont="1" applyFill="1" applyBorder="1" applyAlignment="1" applyProtection="1">
      <alignment horizontal="center" wrapText="1"/>
      <protection locked="0"/>
    </xf>
    <xf numFmtId="49" fontId="10" fillId="2" borderId="36" xfId="0" applyNumberFormat="1" applyFont="1" applyFill="1" applyBorder="1" applyAlignment="1" applyProtection="1">
      <alignment horizontal="center" wrapText="1"/>
      <protection locked="0"/>
    </xf>
    <xf numFmtId="0" fontId="25" fillId="6" borderId="37" xfId="0" applyFont="1" applyFill="1" applyBorder="1" applyAlignment="1" applyProtection="1">
      <alignment horizontal="left"/>
      <protection locked="0"/>
    </xf>
    <xf numFmtId="0" fontId="25" fillId="6" borderId="38" xfId="0" applyFont="1" applyFill="1" applyBorder="1" applyAlignment="1" applyProtection="1">
      <alignment horizontal="left"/>
      <protection locked="0"/>
    </xf>
    <xf numFmtId="0" fontId="9" fillId="2" borderId="15" xfId="0" applyFont="1" applyFill="1" applyBorder="1" applyAlignment="1" applyProtection="1">
      <alignment horizontal="center" vertical="center" textRotation="180"/>
    </xf>
    <xf numFmtId="0" fontId="9" fillId="2" borderId="39" xfId="0" applyFont="1" applyFill="1" applyBorder="1" applyAlignment="1" applyProtection="1">
      <alignment horizontal="center" vertical="center" textRotation="180"/>
    </xf>
    <xf numFmtId="0" fontId="9" fillId="2" borderId="40" xfId="0" applyFont="1" applyFill="1" applyBorder="1" applyAlignment="1" applyProtection="1">
      <alignment horizontal="center" vertical="center" textRotation="180"/>
    </xf>
    <xf numFmtId="0" fontId="14" fillId="2" borderId="3" xfId="0" applyFont="1" applyFill="1" applyBorder="1" applyAlignment="1" applyProtection="1">
      <alignment horizontal="left" vertical="top" wrapText="1"/>
    </xf>
    <xf numFmtId="0" fontId="14" fillId="2" borderId="4" xfId="0" applyFont="1" applyFill="1" applyBorder="1" applyAlignment="1" applyProtection="1">
      <alignment horizontal="left" vertical="top" wrapText="1"/>
    </xf>
    <xf numFmtId="0" fontId="14" fillId="2" borderId="31" xfId="0" applyFont="1" applyFill="1" applyBorder="1" applyAlignment="1" applyProtection="1">
      <alignment horizontal="left" vertical="top" wrapText="1"/>
    </xf>
    <xf numFmtId="0" fontId="24" fillId="6" borderId="16" xfId="0" applyFont="1" applyFill="1" applyBorder="1" applyAlignment="1" applyProtection="1">
      <alignment horizontal="right" vertical="top" wrapText="1"/>
    </xf>
    <xf numFmtId="0" fontId="24" fillId="6" borderId="11" xfId="0" applyFont="1" applyFill="1" applyBorder="1" applyAlignment="1" applyProtection="1">
      <alignment horizontal="right" vertical="top" wrapText="1"/>
    </xf>
    <xf numFmtId="0" fontId="30" fillId="6" borderId="11" xfId="0" applyFont="1" applyFill="1" applyBorder="1" applyAlignment="1" applyProtection="1">
      <alignment horizontal="center" vertical="center" wrapText="1"/>
      <protection locked="0"/>
    </xf>
    <xf numFmtId="0" fontId="30" fillId="6" borderId="27" xfId="0" applyFont="1" applyFill="1" applyBorder="1" applyAlignment="1" applyProtection="1">
      <alignment horizontal="center" vertical="center" wrapText="1"/>
      <protection locked="0"/>
    </xf>
    <xf numFmtId="0" fontId="0" fillId="10" borderId="41" xfId="0" applyFill="1" applyBorder="1" applyAlignment="1" applyProtection="1">
      <alignment horizontal="left" wrapText="1"/>
    </xf>
    <xf numFmtId="0" fontId="0" fillId="10" borderId="42" xfId="0" applyFill="1" applyBorder="1" applyAlignment="1" applyProtection="1">
      <alignment horizontal="left" wrapText="1"/>
    </xf>
    <xf numFmtId="0" fontId="0" fillId="10" borderId="43" xfId="0" applyFill="1" applyBorder="1" applyAlignment="1" applyProtection="1">
      <alignment horizontal="left" wrapText="1"/>
    </xf>
    <xf numFmtId="0" fontId="6" fillId="9" borderId="8" xfId="0" applyFont="1" applyFill="1" applyBorder="1" applyAlignment="1" applyProtection="1">
      <alignment horizontal="left"/>
    </xf>
    <xf numFmtId="0" fontId="6" fillId="9" borderId="22" xfId="0" applyFont="1" applyFill="1" applyBorder="1" applyAlignment="1" applyProtection="1">
      <alignment horizontal="left"/>
    </xf>
    <xf numFmtId="0" fontId="7" fillId="2" borderId="2" xfId="0" applyFont="1" applyFill="1" applyBorder="1" applyAlignment="1" applyProtection="1">
      <alignment horizontal="center" vertical="center" wrapText="1"/>
    </xf>
    <xf numFmtId="0" fontId="20" fillId="7" borderId="16" xfId="0" applyFont="1" applyFill="1" applyBorder="1" applyAlignment="1" applyProtection="1">
      <alignment horizontal="center" vertical="center" wrapText="1"/>
    </xf>
    <xf numFmtId="0" fontId="20" fillId="7" borderId="14" xfId="0" applyFont="1" applyFill="1" applyBorder="1" applyAlignment="1" applyProtection="1">
      <alignment horizontal="center" vertical="center" wrapText="1"/>
    </xf>
    <xf numFmtId="166" fontId="2" fillId="6" borderId="16" xfId="0" applyNumberFormat="1" applyFont="1" applyFill="1" applyBorder="1" applyAlignment="1" applyProtection="1">
      <alignment horizontal="center"/>
      <protection locked="0"/>
    </xf>
    <xf numFmtId="166" fontId="2" fillId="6" borderId="14" xfId="0" applyNumberFormat="1" applyFont="1" applyFill="1" applyBorder="1" applyAlignment="1" applyProtection="1">
      <alignment horizontal="center"/>
      <protection locked="0"/>
    </xf>
    <xf numFmtId="0" fontId="21" fillId="7" borderId="16" xfId="0" applyNumberFormat="1" applyFont="1" applyFill="1" applyBorder="1" applyAlignment="1" applyProtection="1">
      <alignment horizontal="center" vertical="center"/>
    </xf>
    <xf numFmtId="0" fontId="21" fillId="7" borderId="14" xfId="0" applyNumberFormat="1" applyFont="1" applyFill="1" applyBorder="1" applyAlignment="1" applyProtection="1">
      <alignment horizontal="center" vertical="center"/>
    </xf>
    <xf numFmtId="0" fontId="19" fillId="2" borderId="28" xfId="0" applyFont="1" applyFill="1" applyBorder="1" applyAlignment="1" applyProtection="1">
      <alignment horizontal="left" vertical="top" wrapText="1"/>
      <protection locked="0"/>
    </xf>
    <xf numFmtId="0" fontId="19" fillId="2" borderId="29" xfId="0" applyFont="1" applyFill="1" applyBorder="1" applyAlignment="1" applyProtection="1">
      <alignment horizontal="left" vertical="top" wrapText="1"/>
      <protection locked="0"/>
    </xf>
    <xf numFmtId="0" fontId="19" fillId="2" borderId="30"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wrapText="1"/>
    </xf>
    <xf numFmtId="0" fontId="14" fillId="2" borderId="7" xfId="0" applyFont="1" applyFill="1" applyBorder="1" applyAlignment="1" applyProtection="1">
      <alignment horizontal="left" wrapText="1"/>
    </xf>
    <xf numFmtId="49" fontId="10" fillId="2" borderId="7" xfId="0" applyNumberFormat="1" applyFont="1" applyFill="1" applyBorder="1" applyAlignment="1" applyProtection="1">
      <alignment horizontal="center" wrapText="1"/>
      <protection locked="0"/>
    </xf>
    <xf numFmtId="49" fontId="10" fillId="2" borderId="32" xfId="0" applyNumberFormat="1" applyFont="1" applyFill="1" applyBorder="1" applyAlignment="1" applyProtection="1">
      <alignment horizontal="center" wrapText="1"/>
      <protection locked="0"/>
    </xf>
    <xf numFmtId="0" fontId="19" fillId="2" borderId="24" xfId="0" applyFont="1" applyFill="1" applyBorder="1" applyAlignment="1" applyProtection="1">
      <alignment horizontal="left" vertical="top" wrapText="1"/>
      <protection locked="0"/>
    </xf>
    <xf numFmtId="0" fontId="19" fillId="2" borderId="25" xfId="0" applyFont="1" applyFill="1" applyBorder="1" applyAlignment="1" applyProtection="1">
      <alignment horizontal="left" vertical="top" wrapText="1"/>
      <protection locked="0"/>
    </xf>
    <xf numFmtId="0" fontId="19" fillId="2" borderId="26" xfId="0" applyFont="1" applyFill="1" applyBorder="1" applyAlignment="1" applyProtection="1">
      <alignment horizontal="left" vertical="top" wrapText="1"/>
      <protection locked="0"/>
    </xf>
    <xf numFmtId="0" fontId="2" fillId="2" borderId="2" xfId="0" applyFont="1" applyFill="1" applyBorder="1" applyAlignment="1" applyProtection="1">
      <alignment horizontal="center"/>
      <protection locked="0"/>
    </xf>
    <xf numFmtId="0" fontId="10" fillId="2" borderId="11" xfId="0" applyFont="1" applyFill="1" applyBorder="1" applyAlignment="1" applyProtection="1">
      <alignment horizontal="center" vertical="center"/>
      <protection locked="0"/>
    </xf>
    <xf numFmtId="0" fontId="10" fillId="2" borderId="14"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xf>
    <xf numFmtId="0" fontId="7" fillId="2" borderId="11" xfId="0" applyFont="1" applyFill="1" applyBorder="1" applyAlignment="1" applyProtection="1">
      <alignment horizontal="center" vertical="center"/>
    </xf>
    <xf numFmtId="0" fontId="2" fillId="0" borderId="16" xfId="0" applyFont="1" applyFill="1" applyBorder="1" applyAlignment="1" applyProtection="1">
      <alignment horizontal="center" vertical="center" wrapText="1"/>
    </xf>
    <xf numFmtId="0" fontId="8" fillId="0" borderId="14" xfId="0" applyFont="1" applyBorder="1" applyAlignment="1" applyProtection="1">
      <alignment horizontal="center" wrapText="1"/>
    </xf>
    <xf numFmtId="0" fontId="9" fillId="0" borderId="2" xfId="0" applyFont="1" applyFill="1" applyBorder="1" applyAlignment="1" applyProtection="1">
      <alignment horizontal="center" vertical="center" wrapText="1"/>
    </xf>
    <xf numFmtId="0" fontId="2" fillId="2" borderId="16" xfId="0" applyNumberFormat="1" applyFont="1" applyFill="1" applyBorder="1" applyAlignment="1" applyProtection="1">
      <alignment horizontal="center"/>
      <protection locked="0"/>
    </xf>
    <xf numFmtId="0" fontId="2" fillId="2" borderId="14" xfId="0" applyNumberFormat="1" applyFont="1" applyFill="1" applyBorder="1" applyAlignment="1" applyProtection="1">
      <alignment horizontal="center"/>
      <protection locked="0"/>
    </xf>
    <xf numFmtId="0" fontId="7" fillId="2" borderId="16" xfId="0" applyNumberFormat="1" applyFont="1" applyFill="1" applyBorder="1" applyAlignment="1" applyProtection="1">
      <alignment horizontal="center"/>
      <protection locked="0"/>
    </xf>
    <xf numFmtId="0" fontId="7" fillId="2" borderId="14" xfId="0" applyNumberFormat="1" applyFont="1" applyFill="1" applyBorder="1" applyAlignment="1" applyProtection="1">
      <alignment horizontal="center"/>
      <protection locked="0"/>
    </xf>
    <xf numFmtId="0" fontId="6" fillId="3" borderId="14" xfId="0" applyFont="1" applyFill="1" applyBorder="1" applyAlignment="1" applyProtection="1">
      <alignment horizontal="left"/>
    </xf>
    <xf numFmtId="0" fontId="6" fillId="3" borderId="2" xfId="0" applyFont="1" applyFill="1" applyBorder="1" applyAlignment="1" applyProtection="1">
      <alignment horizontal="left"/>
    </xf>
    <xf numFmtId="0" fontId="7" fillId="2" borderId="7" xfId="0" applyFont="1" applyFill="1" applyBorder="1" applyAlignment="1" applyProtection="1">
      <alignment shrinkToFit="1"/>
    </xf>
    <xf numFmtId="0" fontId="0" fillId="0" borderId="7" xfId="0" applyBorder="1" applyAlignment="1" applyProtection="1">
      <alignment shrinkToFit="1"/>
    </xf>
    <xf numFmtId="0" fontId="6" fillId="5" borderId="14" xfId="0" applyFont="1" applyFill="1" applyBorder="1" applyAlignment="1" applyProtection="1">
      <alignment horizontal="left"/>
    </xf>
    <xf numFmtId="0" fontId="6" fillId="5" borderId="2" xfId="0" applyFont="1" applyFill="1" applyBorder="1" applyAlignment="1" applyProtection="1">
      <alignment horizontal="left"/>
    </xf>
    <xf numFmtId="166" fontId="2" fillId="2" borderId="11" xfId="0" applyNumberFormat="1" applyFont="1" applyFill="1" applyBorder="1" applyAlignment="1" applyProtection="1">
      <alignment horizontal="center"/>
      <protection locked="0"/>
    </xf>
    <xf numFmtId="0" fontId="6" fillId="4" borderId="14" xfId="0" applyFont="1" applyFill="1" applyBorder="1" applyAlignment="1" applyProtection="1">
      <alignment horizontal="left"/>
    </xf>
    <xf numFmtId="0" fontId="6" fillId="4" borderId="2" xfId="0" applyFont="1" applyFill="1" applyBorder="1" applyAlignment="1" applyProtection="1">
      <alignment horizontal="left"/>
    </xf>
    <xf numFmtId="0" fontId="17" fillId="0" borderId="16" xfId="0" applyFont="1" applyBorder="1" applyAlignment="1" applyProtection="1">
      <alignment horizontal="center" vertical="center" wrapText="1"/>
    </xf>
    <xf numFmtId="0" fontId="17" fillId="0" borderId="11" xfId="0" applyFont="1" applyBorder="1" applyAlignment="1" applyProtection="1">
      <alignment horizontal="center" vertical="center" wrapText="1"/>
    </xf>
    <xf numFmtId="0" fontId="17" fillId="0" borderId="14" xfId="0" applyFont="1" applyBorder="1" applyAlignment="1" applyProtection="1">
      <alignment horizontal="center" vertical="center" wrapText="1"/>
    </xf>
    <xf numFmtId="0" fontId="7" fillId="0" borderId="4" xfId="0" applyFont="1" applyFill="1" applyBorder="1" applyAlignment="1" applyProtection="1">
      <alignment horizontal="right"/>
    </xf>
    <xf numFmtId="0" fontId="0" fillId="0" borderId="4" xfId="0" applyBorder="1" applyAlignment="1" applyProtection="1"/>
    <xf numFmtId="0" fontId="6" fillId="7" borderId="16" xfId="0" applyFont="1" applyFill="1" applyBorder="1" applyAlignment="1" applyProtection="1"/>
    <xf numFmtId="0" fontId="6" fillId="7" borderId="11" xfId="0" applyFont="1" applyFill="1" applyBorder="1" applyAlignment="1" applyProtection="1"/>
    <xf numFmtId="0" fontId="6" fillId="7" borderId="14" xfId="0" applyFont="1" applyFill="1" applyBorder="1" applyAlignment="1" applyProtection="1"/>
    <xf numFmtId="0" fontId="6" fillId="6" borderId="23" xfId="0" applyFont="1" applyFill="1" applyBorder="1" applyAlignment="1" applyProtection="1"/>
    <xf numFmtId="0" fontId="6" fillId="6" borderId="19" xfId="0" applyFont="1" applyFill="1" applyBorder="1" applyAlignment="1" applyProtection="1"/>
    <xf numFmtId="0" fontId="6" fillId="7" borderId="6" xfId="0" applyFont="1" applyFill="1" applyBorder="1" applyAlignment="1" applyProtection="1"/>
    <xf numFmtId="0" fontId="6" fillId="7" borderId="7" xfId="0" applyFont="1" applyFill="1" applyBorder="1" applyAlignment="1" applyProtection="1"/>
    <xf numFmtId="0" fontId="6" fillId="7" borderId="8" xfId="0" applyFont="1" applyFill="1" applyBorder="1" applyAlignment="1" applyProtection="1"/>
    <xf numFmtId="0" fontId="2" fillId="6" borderId="7" xfId="0" applyFont="1" applyFill="1" applyBorder="1" applyAlignment="1" applyProtection="1"/>
    <xf numFmtId="0" fontId="2" fillId="6" borderId="17" xfId="0" applyFont="1" applyFill="1" applyBorder="1" applyAlignment="1" applyProtection="1">
      <alignment horizontal="left" vertical="top" wrapText="1"/>
    </xf>
    <xf numFmtId="0" fontId="0" fillId="6" borderId="0" xfId="0" applyFill="1" applyBorder="1" applyAlignment="1" applyProtection="1">
      <alignment horizontal="left" vertical="top" wrapText="1"/>
    </xf>
    <xf numFmtId="0" fontId="0" fillId="6" borderId="9" xfId="0" applyFill="1" applyBorder="1" applyAlignment="1" applyProtection="1">
      <alignment horizontal="left" vertical="top" wrapText="1"/>
    </xf>
    <xf numFmtId="0" fontId="2" fillId="6" borderId="17" xfId="0" applyFont="1" applyFill="1" applyBorder="1" applyAlignment="1" applyProtection="1">
      <alignment vertical="top" wrapText="1"/>
    </xf>
    <xf numFmtId="0" fontId="2" fillId="6" borderId="0" xfId="0" applyFont="1" applyFill="1" applyBorder="1" applyAlignment="1" applyProtection="1">
      <alignment vertical="top" wrapText="1"/>
    </xf>
    <xf numFmtId="0" fontId="2" fillId="6" borderId="9" xfId="0" applyFont="1" applyFill="1" applyBorder="1" applyAlignment="1" applyProtection="1">
      <alignment vertical="top" wrapText="1"/>
    </xf>
    <xf numFmtId="0" fontId="0" fillId="6" borderId="0" xfId="0" applyFill="1" applyBorder="1" applyAlignment="1" applyProtection="1">
      <alignment vertical="top" wrapText="1"/>
    </xf>
    <xf numFmtId="0" fontId="0" fillId="6" borderId="9" xfId="0" applyFill="1" applyBorder="1" applyAlignment="1" applyProtection="1">
      <alignment vertical="top" wrapText="1"/>
    </xf>
    <xf numFmtId="0" fontId="28" fillId="6" borderId="11" xfId="0" applyFont="1" applyFill="1" applyBorder="1" applyAlignment="1" applyProtection="1">
      <alignment horizontal="center"/>
      <protection locked="0"/>
    </xf>
    <xf numFmtId="0" fontId="28" fillId="6" borderId="14" xfId="0" applyFont="1" applyFill="1" applyBorder="1" applyAlignment="1" applyProtection="1">
      <alignment horizontal="center"/>
      <protection locked="0"/>
    </xf>
    <xf numFmtId="0" fontId="22" fillId="6" borderId="7" xfId="0" applyFont="1" applyFill="1" applyBorder="1" applyAlignment="1" applyProtection="1">
      <alignment horizontal="center"/>
      <protection locked="0"/>
    </xf>
    <xf numFmtId="0" fontId="22" fillId="6" borderId="8" xfId="0" applyFont="1" applyFill="1" applyBorder="1" applyAlignment="1" applyProtection="1">
      <alignment horizontal="center"/>
      <protection locked="0"/>
    </xf>
    <xf numFmtId="0" fontId="2" fillId="6" borderId="6" xfId="0" applyFont="1" applyFill="1" applyBorder="1" applyAlignment="1" applyProtection="1">
      <alignment horizontal="left"/>
    </xf>
    <xf numFmtId="0" fontId="2" fillId="6" borderId="7" xfId="0" applyFont="1" applyFill="1" applyBorder="1" applyAlignment="1" applyProtection="1">
      <alignment horizontal="left"/>
    </xf>
    <xf numFmtId="0" fontId="2" fillId="6" borderId="17" xfId="0" applyFont="1" applyFill="1" applyBorder="1" applyAlignment="1" applyProtection="1">
      <alignment horizontal="left" vertical="top"/>
    </xf>
    <xf numFmtId="0" fontId="2" fillId="6" borderId="0" xfId="0" applyFont="1" applyFill="1" applyBorder="1" applyAlignment="1" applyProtection="1">
      <alignment horizontal="left" vertical="top"/>
    </xf>
    <xf numFmtId="0" fontId="2" fillId="6" borderId="9" xfId="0" applyFont="1" applyFill="1" applyBorder="1" applyAlignment="1" applyProtection="1">
      <alignment horizontal="left" vertical="top"/>
    </xf>
    <xf numFmtId="0" fontId="2" fillId="6" borderId="17" xfId="0" applyFont="1" applyFill="1" applyBorder="1" applyAlignment="1" applyProtection="1">
      <alignment horizontal="justify" vertical="top" wrapText="1"/>
    </xf>
    <xf numFmtId="0" fontId="0" fillId="6" borderId="0" xfId="0" applyFill="1" applyBorder="1" applyAlignment="1" applyProtection="1">
      <alignment horizontal="justify" vertical="top"/>
    </xf>
    <xf numFmtId="0" fontId="0" fillId="6" borderId="9" xfId="0" applyFill="1" applyBorder="1" applyAlignment="1" applyProtection="1">
      <alignment horizontal="justify" vertical="top"/>
    </xf>
    <xf numFmtId="0" fontId="2" fillId="6" borderId="0" xfId="0" applyFont="1" applyFill="1" applyBorder="1" applyAlignment="1" applyProtection="1">
      <alignment horizontal="justify" vertical="top" wrapText="1"/>
    </xf>
    <xf numFmtId="0" fontId="2" fillId="6" borderId="9" xfId="0" applyFont="1" applyFill="1" applyBorder="1" applyAlignment="1" applyProtection="1">
      <alignment horizontal="justify" vertical="top" wrapText="1"/>
    </xf>
  </cellXfs>
  <cellStyles count="4">
    <cellStyle name="120" xfId="1" xr:uid="{00000000-0005-0000-0000-000000000000}"/>
    <cellStyle name="Comma 2" xfId="2" xr:uid="{00000000-0005-0000-0000-000001000000}"/>
    <cellStyle name="Normal" xfId="0" builtinId="0"/>
    <cellStyle name="Normal_Sheet1" xfId="3" xr:uid="{00000000-0005-0000-0000-000003000000}"/>
  </cellStyles>
  <dxfs count="40">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fmlaLink="$K$13" lockText="1" noThreeD="1"/>
</file>

<file path=xl/ctrlProps/ctrlProp2.xml><?xml version="1.0" encoding="utf-8"?>
<formControlPr xmlns="http://schemas.microsoft.com/office/spreadsheetml/2009/9/main" objectType="CheckBox" fmlaLink="$K$14" lockText="1" noThreeD="1"/>
</file>

<file path=xl/ctrlProps/ctrlProp3.xml><?xml version="1.0" encoding="utf-8"?>
<formControlPr xmlns="http://schemas.microsoft.com/office/spreadsheetml/2009/9/main" objectType="CheckBox" fmlaLink="$K$17" lockText="1" noThreeD="1"/>
</file>

<file path=xl/ctrlProps/ctrlProp4.xml><?xml version="1.0" encoding="utf-8"?>
<formControlPr xmlns="http://schemas.microsoft.com/office/spreadsheetml/2009/9/main" objectType="CheckBox" fmlaLink="$K$18" lockText="1" noThreeD="1"/>
</file>

<file path=xl/ctrlProps/ctrlProp5.xml><?xml version="1.0" encoding="utf-8"?>
<formControlPr xmlns="http://schemas.microsoft.com/office/spreadsheetml/2009/9/main" objectType="CheckBox" fmlaLink="$K$15" lockText="1" noThreeD="1"/>
</file>

<file path=xl/ctrlProps/ctrlProp6.xml><?xml version="1.0" encoding="utf-8"?>
<formControlPr xmlns="http://schemas.microsoft.com/office/spreadsheetml/2009/9/main" objectType="CheckBox" fmlaLink="$K$16" lockText="1" noThreeD="1"/>
</file>

<file path=xl/ctrlProps/ctrlProp7.xml><?xml version="1.0" encoding="utf-8"?>
<formControlPr xmlns="http://schemas.microsoft.com/office/spreadsheetml/2009/9/main" objectType="CheckBox" fmlaLink="$K$24" lockText="1" noThreeD="1"/>
</file>

<file path=xl/ctrlProps/ctrlProp8.xml><?xml version="1.0" encoding="utf-8"?>
<formControlPr xmlns="http://schemas.microsoft.com/office/spreadsheetml/2009/9/main" objectType="CheckBox" fmlaLink="$K$25" lockText="1" noThreeD="1"/>
</file>

<file path=xl/ctrlProps/ctrlProp9.xml><?xml version="1.0" encoding="utf-8"?>
<formControlPr xmlns="http://schemas.microsoft.com/office/spreadsheetml/2009/9/main" objectType="CheckBox" fmlaLink="$K$26" lockText="1" noThreeD="1"/>
</file>

<file path=xl/ctrlProps/ctrlProp10.xml><?xml version="1.0" encoding="utf-8"?>
<formControlPr xmlns="http://schemas.microsoft.com/office/spreadsheetml/2009/9/main" objectType="CheckBox" fmlaLink="$K$32" lockText="1" noThreeD="1"/>
</file>

<file path=xl/ctrlProps/ctrlProp11.xml><?xml version="1.0" encoding="utf-8"?>
<formControlPr xmlns="http://schemas.microsoft.com/office/spreadsheetml/2009/9/main" objectType="CheckBox" fmlaLink="$K$33" lockText="1" noThreeD="1"/>
</file>

<file path=xl/ctrlProps/ctrlProp12.xml><?xml version="1.0" encoding="utf-8"?>
<formControlPr xmlns="http://schemas.microsoft.com/office/spreadsheetml/2009/9/main" objectType="CheckBox" fmlaLink="$K$34" lockText="1" noThreeD="1"/>
</file>

<file path=xl/ctrlProps/ctrlProp13.xml><?xml version="1.0" encoding="utf-8"?>
<formControlPr xmlns="http://schemas.microsoft.com/office/spreadsheetml/2009/9/main" objectType="CheckBox" fmlaLink="$K$35" lockText="1" noThreeD="1"/>
</file>

<file path=xl/ctrlProps/ctrlProp14.xml><?xml version="1.0" encoding="utf-8"?>
<formControlPr xmlns="http://schemas.microsoft.com/office/spreadsheetml/2009/9/main" objectType="CheckBox" fmlaLink="$K$41" lockText="1" noThreeD="1"/>
</file>

<file path=xl/ctrlProps/ctrlProp15.xml><?xml version="1.0" encoding="utf-8"?>
<formControlPr xmlns="http://schemas.microsoft.com/office/spreadsheetml/2009/9/main" objectType="CheckBox" fmlaLink="$K$42" lockText="1" noThreeD="1"/>
</file>

<file path=xl/ctrlProps/ctrlProp16.xml><?xml version="1.0" encoding="utf-8"?>
<formControlPr xmlns="http://schemas.microsoft.com/office/spreadsheetml/2009/9/main" objectType="CheckBox" fmlaLink="$K$46" lockText="1" noThreeD="1"/>
</file>

<file path=xl/ctrlProps/ctrlProp17.xml><?xml version="1.0" encoding="utf-8"?>
<formControlPr xmlns="http://schemas.microsoft.com/office/spreadsheetml/2009/9/main" objectType="CheckBox" fmlaLink="$K$47" lockText="1" noThreeD="1"/>
</file>

<file path=xl/ctrlProps/ctrlProp18.xml><?xml version="1.0" encoding="utf-8"?>
<formControlPr xmlns="http://schemas.microsoft.com/office/spreadsheetml/2009/9/main" objectType="CheckBox" fmlaLink="$K$44" lockText="1" noThreeD="1"/>
</file>

<file path=xl/ctrlProps/ctrlProp19.xml><?xml version="1.0" encoding="utf-8"?>
<formControlPr xmlns="http://schemas.microsoft.com/office/spreadsheetml/2009/9/main" objectType="CheckBox" fmlaLink="$K$43" lockText="1" noThreeD="1"/>
</file>

<file path=xl/ctrlProps/ctrlProp20.xml><?xml version="1.0" encoding="utf-8"?>
<formControlPr xmlns="http://schemas.microsoft.com/office/spreadsheetml/2009/9/main" objectType="CheckBox" fmlaLink="$K$45"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28575</xdr:rowOff>
    </xdr:from>
    <xdr:to>
      <xdr:col>3</xdr:col>
      <xdr:colOff>428625</xdr:colOff>
      <xdr:row>1</xdr:row>
      <xdr:rowOff>390525</xdr:rowOff>
    </xdr:to>
    <xdr:pic>
      <xdr:nvPicPr>
        <xdr:cNvPr id="4209" name="Picture 2">
          <a:extLst>
            <a:ext uri="{FF2B5EF4-FFF2-40B4-BE49-F238E27FC236}">
              <a16:creationId xmlns:a16="http://schemas.microsoft.com/office/drawing/2014/main" id="{BE5A44BD-99D2-482B-8287-8D39D778D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8575"/>
          <a:ext cx="19145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10</xdr:col>
          <xdr:colOff>228600</xdr:colOff>
          <xdr:row>11</xdr:row>
          <xdr:rowOff>428625</xdr:rowOff>
        </xdr:from>
        <xdr:to>
          <xdr:col>10</xdr:col>
          <xdr:colOff>533400</xdr:colOff>
          <xdr:row>13</xdr:row>
          <xdr:rowOff>19050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79D775AF-3A1F-4903-BC36-61458A9D79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12</xdr:row>
          <xdr:rowOff>180975</xdr:rowOff>
        </xdr:from>
        <xdr:to>
          <xdr:col>10</xdr:col>
          <xdr:colOff>619125</xdr:colOff>
          <xdr:row>14</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8BB4A16-8BC7-4C6A-8D28-073FEB8B88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15</xdr:row>
          <xdr:rowOff>180975</xdr:rowOff>
        </xdr:from>
        <xdr:to>
          <xdr:col>10</xdr:col>
          <xdr:colOff>533400</xdr:colOff>
          <xdr:row>17</xdr:row>
          <xdr:rowOff>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99B9BE5D-C482-40DD-AFEC-C7627719EC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180975</xdr:rowOff>
        </xdr:from>
        <xdr:to>
          <xdr:col>10</xdr:col>
          <xdr:colOff>533400</xdr:colOff>
          <xdr:row>18</xdr:row>
          <xdr:rowOff>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ECB2BA0C-545F-4206-877A-42D2C1B59C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13</xdr:row>
          <xdr:rowOff>180975</xdr:rowOff>
        </xdr:from>
        <xdr:to>
          <xdr:col>10</xdr:col>
          <xdr:colOff>619125</xdr:colOff>
          <xdr:row>15</xdr:row>
          <xdr:rowOff>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F832342-3C46-46F7-9639-0377EADC90A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180975</xdr:rowOff>
        </xdr:from>
        <xdr:to>
          <xdr:col>10</xdr:col>
          <xdr:colOff>619125</xdr:colOff>
          <xdr:row>16</xdr:row>
          <xdr:rowOff>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BA020B9B-6ADC-434A-9495-4CE6D13E454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22</xdr:row>
          <xdr:rowOff>400050</xdr:rowOff>
        </xdr:from>
        <xdr:to>
          <xdr:col>10</xdr:col>
          <xdr:colOff>542925</xdr:colOff>
          <xdr:row>24</xdr:row>
          <xdr:rowOff>9525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8850EAEF-B82E-4423-973F-176428358C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23</xdr:row>
          <xdr:rowOff>180975</xdr:rowOff>
        </xdr:from>
        <xdr:to>
          <xdr:col>10</xdr:col>
          <xdr:colOff>628650</xdr:colOff>
          <xdr:row>25</xdr:row>
          <xdr:rowOff>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4C8ECC4E-BC2F-4ED8-8228-958E7614B0C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180975</xdr:rowOff>
        </xdr:from>
        <xdr:to>
          <xdr:col>10</xdr:col>
          <xdr:colOff>619125</xdr:colOff>
          <xdr:row>26</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736BA18E-CB3A-42AF-8410-F0F8DD2BEA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30</xdr:row>
          <xdr:rowOff>438150</xdr:rowOff>
        </xdr:from>
        <xdr:to>
          <xdr:col>10</xdr:col>
          <xdr:colOff>533400</xdr:colOff>
          <xdr:row>32</xdr:row>
          <xdr:rowOff>9525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195EFE99-874D-45F9-8214-BA39F50733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31</xdr:row>
          <xdr:rowOff>180975</xdr:rowOff>
        </xdr:from>
        <xdr:to>
          <xdr:col>10</xdr:col>
          <xdr:colOff>619125</xdr:colOff>
          <xdr:row>33</xdr:row>
          <xdr:rowOff>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2D67635D-045C-4C7E-868F-3B0664FE55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32</xdr:row>
          <xdr:rowOff>180975</xdr:rowOff>
        </xdr:from>
        <xdr:to>
          <xdr:col>10</xdr:col>
          <xdr:colOff>619125</xdr:colOff>
          <xdr:row>34</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C67415CD-1CC8-47BC-A6E2-45C2AD99C6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33</xdr:row>
          <xdr:rowOff>180975</xdr:rowOff>
        </xdr:from>
        <xdr:to>
          <xdr:col>10</xdr:col>
          <xdr:colOff>619125</xdr:colOff>
          <xdr:row>35</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4590FC10-4136-4A6D-89EB-80A93BD2F63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39</xdr:row>
          <xdr:rowOff>400050</xdr:rowOff>
        </xdr:from>
        <xdr:to>
          <xdr:col>10</xdr:col>
          <xdr:colOff>542925</xdr:colOff>
          <xdr:row>40</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484929DB-14EE-4A6B-AF89-7B77F7096EF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40</xdr:row>
          <xdr:rowOff>180975</xdr:rowOff>
        </xdr:from>
        <xdr:to>
          <xdr:col>10</xdr:col>
          <xdr:colOff>628650</xdr:colOff>
          <xdr:row>42</xdr:row>
          <xdr:rowOff>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3057311B-86CA-4B5A-82E6-93EACA3983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44</xdr:row>
          <xdr:rowOff>180975</xdr:rowOff>
        </xdr:from>
        <xdr:to>
          <xdr:col>10</xdr:col>
          <xdr:colOff>628650</xdr:colOff>
          <xdr:row>46</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AC7ACA52-E527-4738-89D5-87099465CF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45</xdr:row>
          <xdr:rowOff>180975</xdr:rowOff>
        </xdr:from>
        <xdr:to>
          <xdr:col>10</xdr:col>
          <xdr:colOff>628650</xdr:colOff>
          <xdr:row>47</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924329F0-9AC2-400D-98EF-AE04E45F2A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42</xdr:row>
          <xdr:rowOff>171450</xdr:rowOff>
        </xdr:from>
        <xdr:to>
          <xdr:col>10</xdr:col>
          <xdr:colOff>628650</xdr:colOff>
          <xdr:row>43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C8B86930-0EF9-4D2E-9CC2-7557375B95B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41</xdr:row>
          <xdr:rowOff>171450</xdr:rowOff>
        </xdr:from>
        <xdr:to>
          <xdr:col>10</xdr:col>
          <xdr:colOff>628650</xdr:colOff>
          <xdr:row>42</xdr:row>
          <xdr:rowOff>190500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AC8898AE-593B-406D-B245-07F1D76191D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43</xdr:row>
          <xdr:rowOff>180975</xdr:rowOff>
        </xdr:from>
        <xdr:to>
          <xdr:col>10</xdr:col>
          <xdr:colOff>628650</xdr:colOff>
          <xdr:row>45</xdr:row>
          <xdr:rowOff>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7590DA1C-43FD-41AF-9AF8-6A154AC87B3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11</xdr:row>
          <xdr:rowOff>438150</xdr:rowOff>
        </xdr:from>
        <xdr:to>
          <xdr:col>5</xdr:col>
          <xdr:colOff>114300</xdr:colOff>
          <xdr:row>13</xdr:row>
          <xdr:rowOff>9525</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238DBB2F-7CC0-437E-891E-39A87BB5207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24</xdr:row>
          <xdr:rowOff>190500</xdr:rowOff>
        </xdr:from>
        <xdr:to>
          <xdr:col>5</xdr:col>
          <xdr:colOff>114300</xdr:colOff>
          <xdr:row>26</xdr:row>
          <xdr:rowOff>9525</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2949E9BF-0B55-4CB9-81FA-03BEBA005B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12</xdr:row>
          <xdr:rowOff>180975</xdr:rowOff>
        </xdr:from>
        <xdr:to>
          <xdr:col>5</xdr:col>
          <xdr:colOff>114300</xdr:colOff>
          <xdr:row>14</xdr:row>
          <xdr:rowOff>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1A6300F6-3C17-4F27-A039-8510E1CA0BB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13</xdr:row>
          <xdr:rowOff>180975</xdr:rowOff>
        </xdr:from>
        <xdr:to>
          <xdr:col>5</xdr:col>
          <xdr:colOff>114300</xdr:colOff>
          <xdr:row>15</xdr:row>
          <xdr:rowOff>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8F5244A4-61DF-4D42-88ED-192B1032D9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14</xdr:row>
          <xdr:rowOff>180975</xdr:rowOff>
        </xdr:from>
        <xdr:to>
          <xdr:col>5</xdr:col>
          <xdr:colOff>114300</xdr:colOff>
          <xdr:row>16</xdr:row>
          <xdr:rowOff>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6B7F9162-AA7F-400F-8607-68187FDDE5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15</xdr:row>
          <xdr:rowOff>190500</xdr:rowOff>
        </xdr:from>
        <xdr:to>
          <xdr:col>5</xdr:col>
          <xdr:colOff>114300</xdr:colOff>
          <xdr:row>17</xdr:row>
          <xdr:rowOff>9525</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FC0BB038-9AA5-4484-8904-EDB8461D2D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180975</xdr:rowOff>
        </xdr:from>
        <xdr:to>
          <xdr:col>5</xdr:col>
          <xdr:colOff>114300</xdr:colOff>
          <xdr:row>18</xdr:row>
          <xdr:rowOff>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6F536BC2-BAEB-46E7-A718-CA2C3A4BFB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22</xdr:row>
          <xdr:rowOff>400050</xdr:rowOff>
        </xdr:from>
        <xdr:to>
          <xdr:col>5</xdr:col>
          <xdr:colOff>114300</xdr:colOff>
          <xdr:row>24</xdr:row>
          <xdr:rowOff>9525</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F5617717-A5CF-4E25-BC7A-BED63A7912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23</xdr:row>
          <xdr:rowOff>180975</xdr:rowOff>
        </xdr:from>
        <xdr:to>
          <xdr:col>5</xdr:col>
          <xdr:colOff>114300</xdr:colOff>
          <xdr:row>25</xdr:row>
          <xdr:rowOff>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AAA01E5E-C7E8-45A4-B55C-9ADEB6443FF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91"/>
  <sheetViews>
    <sheetView tabSelected="1" topLeftCell="A7" zoomScaleNormal="100" workbookViewId="0">
      <selection activeCell="G15" sqref="G15:H15"/>
    </sheetView>
  </sheetViews>
  <sheetFormatPr defaultRowHeight="11.25"/>
  <cols>
    <col min="1" max="1" width="2.7109375" style="26" customWidth="1"/>
    <col min="2" max="2" width="4.5703125" style="26" customWidth="1"/>
    <col min="3" max="3" width="18.5703125" style="27" customWidth="1"/>
    <col min="4" max="4" width="18" style="27" customWidth="1"/>
    <col min="5" max="5" width="2.42578125" style="27" customWidth="1"/>
    <col min="6" max="6" width="16.28515625" style="27" customWidth="1"/>
    <col min="7" max="7" width="13.28515625" style="27" customWidth="1"/>
    <col min="8" max="8" width="3.28515625" style="27" customWidth="1"/>
    <col min="9" max="9" width="12.7109375" style="27" customWidth="1"/>
    <col min="10" max="10" width="13.7109375" style="27" customWidth="1"/>
    <col min="11" max="11" width="11.42578125" style="27" customWidth="1"/>
    <col min="12" max="12" width="6" style="27" customWidth="1"/>
    <col min="13" max="13" width="7.85546875" style="27" customWidth="1"/>
    <col min="14" max="14" width="14.5703125" style="27" customWidth="1"/>
    <col min="15" max="15" width="3.5703125" style="26" customWidth="1"/>
    <col min="16" max="16" width="9.140625" style="27" hidden="1" customWidth="1"/>
    <col min="17" max="17" width="9.140625" style="1" hidden="1" customWidth="1"/>
    <col min="18" max="18" width="27.140625" style="1" hidden="1" customWidth="1"/>
    <col min="19" max="19" width="31.5703125" style="1" hidden="1" customWidth="1"/>
    <col min="20" max="24" width="9.140625" style="1" hidden="1" customWidth="1"/>
    <col min="25" max="27" width="9.140625" style="27" hidden="1" customWidth="1"/>
    <col min="28" max="28" width="9.140625" style="27" customWidth="1"/>
    <col min="29" max="16384" width="9.140625" style="27"/>
  </cols>
  <sheetData>
    <row r="1" spans="1:46" ht="13.5" customHeight="1">
      <c r="A1" s="22"/>
      <c r="B1" s="23"/>
      <c r="C1" s="24"/>
      <c r="D1" s="25"/>
      <c r="E1" s="161" t="s">
        <v>0</v>
      </c>
      <c r="F1" s="162"/>
      <c r="G1" s="162"/>
      <c r="H1" s="162"/>
      <c r="I1" s="162"/>
      <c r="J1" s="163"/>
      <c r="K1" s="167" t="s">
        <v>1</v>
      </c>
      <c r="L1" s="168"/>
      <c r="M1" s="168"/>
      <c r="N1" s="169"/>
      <c r="Q1" s="3" t="s">
        <v>2</v>
      </c>
      <c r="R1" s="17">
        <v>0.2</v>
      </c>
    </row>
    <row r="2" spans="1:46" ht="40.5" customHeight="1">
      <c r="A2" s="22"/>
      <c r="B2" s="28"/>
      <c r="C2" s="29"/>
      <c r="D2" s="30"/>
      <c r="E2" s="164"/>
      <c r="F2" s="165"/>
      <c r="G2" s="165"/>
      <c r="H2" s="165"/>
      <c r="I2" s="165"/>
      <c r="J2" s="166"/>
      <c r="K2" s="31"/>
      <c r="L2" s="32"/>
      <c r="M2" s="32"/>
      <c r="N2" s="134" t="s">
        <v>3</v>
      </c>
    </row>
    <row r="3" spans="1:46" s="35" customFormat="1" ht="30" customHeight="1">
      <c r="A3" s="33"/>
      <c r="B3" s="170" t="s">
        <v>4</v>
      </c>
      <c r="C3" s="171"/>
      <c r="D3" s="172" t="s">
        <v>5</v>
      </c>
      <c r="E3" s="172"/>
      <c r="F3" s="172"/>
      <c r="G3" s="172"/>
      <c r="H3" s="172"/>
      <c r="I3" s="172"/>
      <c r="J3" s="173"/>
      <c r="K3" s="174" t="s">
        <v>6</v>
      </c>
      <c r="L3" s="175"/>
      <c r="M3" s="175"/>
      <c r="N3" s="176"/>
      <c r="O3" s="34"/>
      <c r="Q3" s="4" t="s">
        <v>7</v>
      </c>
      <c r="R3" s="4"/>
      <c r="S3" s="4"/>
      <c r="T3" s="4"/>
      <c r="U3" s="4"/>
      <c r="V3" s="4"/>
      <c r="W3" s="4"/>
      <c r="X3" s="4"/>
      <c r="Y3" s="36"/>
      <c r="Z3" s="36"/>
      <c r="AA3" s="36"/>
    </row>
    <row r="4" spans="1:46" s="35" customFormat="1" ht="34.5" customHeight="1" thickTop="1">
      <c r="A4" s="33"/>
      <c r="B4" s="193" t="s">
        <v>8</v>
      </c>
      <c r="C4" s="194"/>
      <c r="D4" s="195"/>
      <c r="E4" s="195"/>
      <c r="F4" s="196"/>
      <c r="G4" s="197" t="s">
        <v>9</v>
      </c>
      <c r="H4" s="198"/>
      <c r="I4" s="198"/>
      <c r="J4" s="198"/>
      <c r="K4" s="198"/>
      <c r="L4" s="198"/>
      <c r="M4" s="198"/>
      <c r="N4" s="199"/>
      <c r="O4" s="34"/>
      <c r="Q4" s="4"/>
      <c r="R4" s="4"/>
      <c r="S4" s="4"/>
      <c r="T4" s="4"/>
      <c r="U4" s="4"/>
      <c r="V4" s="4"/>
      <c r="W4" s="4"/>
      <c r="X4" s="4"/>
      <c r="Y4" s="36"/>
      <c r="Z4" s="36"/>
      <c r="AA4" s="36"/>
    </row>
    <row r="5" spans="1:46" s="41" customFormat="1" ht="18" customHeight="1">
      <c r="A5" s="37"/>
      <c r="B5" s="187" t="s">
        <v>10</v>
      </c>
      <c r="C5" s="190" t="s">
        <v>11</v>
      </c>
      <c r="D5" s="191"/>
      <c r="E5" s="191"/>
      <c r="F5" s="192"/>
      <c r="G5" s="38" t="s">
        <v>12</v>
      </c>
      <c r="H5" s="39"/>
      <c r="I5" s="157">
        <v>34246</v>
      </c>
      <c r="J5" s="158"/>
      <c r="K5" s="159" t="s">
        <v>13</v>
      </c>
      <c r="L5" s="160"/>
      <c r="M5" s="155"/>
      <c r="N5" s="156"/>
      <c r="O5" s="40"/>
      <c r="Q5" s="144" t="s">
        <v>14</v>
      </c>
      <c r="R5" s="144"/>
      <c r="S5" s="144"/>
      <c r="T5" s="144"/>
      <c r="U5" s="144"/>
      <c r="V5" s="144"/>
      <c r="W5" s="144"/>
      <c r="X5" s="144"/>
      <c r="Y5" s="144"/>
      <c r="Z5" s="144"/>
      <c r="AA5" s="144"/>
    </row>
    <row r="6" spans="1:46" s="35" customFormat="1" ht="18" customHeight="1">
      <c r="A6" s="33"/>
      <c r="B6" s="188"/>
      <c r="C6" s="145" t="s">
        <v>15</v>
      </c>
      <c r="D6" s="146"/>
      <c r="E6" s="146"/>
      <c r="F6" s="147"/>
      <c r="G6" s="151" t="s">
        <v>16</v>
      </c>
      <c r="H6" s="152"/>
      <c r="I6" s="152"/>
      <c r="J6" s="153"/>
      <c r="K6" s="154" t="s">
        <v>17</v>
      </c>
      <c r="L6" s="154"/>
      <c r="M6" s="155"/>
      <c r="N6" s="156"/>
      <c r="O6" s="42"/>
      <c r="Q6" s="5" t="s">
        <v>18</v>
      </c>
      <c r="R6" s="2"/>
      <c r="S6" s="2"/>
      <c r="T6" s="2"/>
      <c r="U6" s="2"/>
      <c r="V6" s="2"/>
      <c r="W6" s="2"/>
      <c r="X6" s="2"/>
    </row>
    <row r="7" spans="1:46" s="35" customFormat="1" ht="18" customHeight="1">
      <c r="A7" s="33"/>
      <c r="B7" s="188"/>
      <c r="C7" s="145"/>
      <c r="D7" s="146"/>
      <c r="E7" s="146"/>
      <c r="F7" s="147"/>
      <c r="G7" s="209" t="s">
        <v>19</v>
      </c>
      <c r="H7" s="210"/>
      <c r="I7" s="210"/>
      <c r="J7" s="211"/>
      <c r="K7" s="212" t="s">
        <v>20</v>
      </c>
      <c r="L7" s="212"/>
      <c r="M7" s="181"/>
      <c r="N7" s="182"/>
      <c r="O7" s="42"/>
      <c r="Q7" s="2"/>
      <c r="R7" s="2"/>
      <c r="S7" s="2"/>
      <c r="T7" s="43"/>
      <c r="U7" s="43"/>
      <c r="V7" s="43"/>
      <c r="W7" s="43"/>
      <c r="X7" s="43"/>
      <c r="Y7" s="44"/>
      <c r="Z7" s="44"/>
      <c r="AA7" s="44"/>
    </row>
    <row r="8" spans="1:46" s="35" customFormat="1" ht="18" customHeight="1">
      <c r="A8" s="33"/>
      <c r="B8" s="188"/>
      <c r="C8" s="145"/>
      <c r="D8" s="146"/>
      <c r="E8" s="146"/>
      <c r="F8" s="147"/>
      <c r="G8" s="209" t="s">
        <v>21</v>
      </c>
      <c r="H8" s="210"/>
      <c r="I8" s="210"/>
      <c r="J8" s="211"/>
      <c r="K8" s="213"/>
      <c r="L8" s="213"/>
      <c r="M8" s="214"/>
      <c r="N8" s="215"/>
      <c r="O8" s="42"/>
      <c r="Q8" s="2"/>
      <c r="R8" s="2"/>
      <c r="S8" s="2"/>
      <c r="T8" s="43"/>
      <c r="U8" s="43"/>
      <c r="V8" s="43"/>
      <c r="W8" s="43"/>
      <c r="X8" s="43"/>
      <c r="Y8" s="44"/>
      <c r="Z8" s="44"/>
      <c r="AA8" s="44"/>
    </row>
    <row r="9" spans="1:46" s="35" customFormat="1" ht="18" customHeight="1">
      <c r="A9" s="33"/>
      <c r="B9" s="188"/>
      <c r="C9" s="145"/>
      <c r="D9" s="146"/>
      <c r="E9" s="146"/>
      <c r="F9" s="147"/>
      <c r="G9" s="216"/>
      <c r="H9" s="217"/>
      <c r="I9" s="217"/>
      <c r="J9" s="218"/>
      <c r="K9" s="177" t="s">
        <v>22</v>
      </c>
      <c r="L9" s="178"/>
      <c r="M9" s="181"/>
      <c r="N9" s="182"/>
      <c r="O9" s="42"/>
      <c r="Q9" s="2"/>
      <c r="R9" s="2"/>
      <c r="S9" s="2"/>
      <c r="T9" s="43"/>
      <c r="U9" s="43"/>
      <c r="V9" s="43"/>
      <c r="W9" s="43"/>
      <c r="X9" s="43"/>
      <c r="Y9" s="44"/>
      <c r="Z9" s="44"/>
      <c r="AA9" s="44"/>
    </row>
    <row r="10" spans="1:46" s="35" customFormat="1" ht="18" customHeight="1" thickBot="1">
      <c r="A10" s="33"/>
      <c r="B10" s="188"/>
      <c r="C10" s="148"/>
      <c r="D10" s="149"/>
      <c r="E10" s="149"/>
      <c r="F10" s="150"/>
      <c r="G10" s="185" t="s">
        <v>23</v>
      </c>
      <c r="H10" s="186"/>
      <c r="I10" s="45" t="s">
        <v>24</v>
      </c>
      <c r="J10" s="46"/>
      <c r="K10" s="179"/>
      <c r="L10" s="180"/>
      <c r="M10" s="183"/>
      <c r="N10" s="184"/>
      <c r="O10" s="34"/>
      <c r="Q10" s="2"/>
      <c r="R10" s="2"/>
      <c r="S10" s="2"/>
      <c r="T10" s="2"/>
      <c r="U10" s="2"/>
      <c r="V10" s="7"/>
      <c r="W10" s="2"/>
      <c r="X10" s="2"/>
      <c r="Y10" s="47"/>
    </row>
    <row r="11" spans="1:46" ht="13.5" customHeight="1" thickTop="1">
      <c r="A11" s="48"/>
      <c r="B11" s="188"/>
      <c r="C11" s="200" t="s">
        <v>25</v>
      </c>
      <c r="D11" s="201"/>
      <c r="E11" s="201"/>
      <c r="F11" s="201"/>
      <c r="G11" s="201"/>
      <c r="H11" s="201"/>
      <c r="I11" s="201"/>
      <c r="J11" s="201"/>
      <c r="K11" s="201"/>
      <c r="L11" s="201"/>
      <c r="M11" s="201"/>
      <c r="N11" s="201"/>
      <c r="R11" s="7" t="s">
        <v>26</v>
      </c>
      <c r="S11" s="43"/>
      <c r="V11" s="9"/>
      <c r="Y11" s="49"/>
    </row>
    <row r="12" spans="1:46" ht="35.25" customHeight="1" thickBot="1">
      <c r="A12" s="48"/>
      <c r="B12" s="189"/>
      <c r="C12" s="50" t="s">
        <v>27</v>
      </c>
      <c r="D12" s="143" t="s">
        <v>28</v>
      </c>
      <c r="E12" s="131" t="s">
        <v>29</v>
      </c>
      <c r="F12" s="50" t="s">
        <v>30</v>
      </c>
      <c r="G12" s="202" t="s">
        <v>31</v>
      </c>
      <c r="H12" s="202"/>
      <c r="I12" s="143" t="s">
        <v>32</v>
      </c>
      <c r="J12" s="143" t="s">
        <v>33</v>
      </c>
      <c r="K12" s="51" t="s">
        <v>34</v>
      </c>
      <c r="L12" s="203" t="s">
        <v>35</v>
      </c>
      <c r="M12" s="204"/>
      <c r="N12" s="139" t="s">
        <v>36</v>
      </c>
      <c r="Q12" s="8">
        <v>166104</v>
      </c>
      <c r="R12" s="9" t="s">
        <v>37</v>
      </c>
      <c r="S12" s="21" t="s">
        <v>38</v>
      </c>
      <c r="T12" s="8">
        <v>166104</v>
      </c>
      <c r="U12" s="8"/>
      <c r="V12" s="9"/>
      <c r="W12" s="1" t="s">
        <v>39</v>
      </c>
      <c r="X12" s="1" t="str">
        <f>PROPER(W12)</f>
        <v>Air Travel</v>
      </c>
      <c r="Y12" s="47"/>
    </row>
    <row r="13" spans="1:46" s="41" customFormat="1" ht="15.75" customHeight="1" thickTop="1" thickBot="1">
      <c r="A13" s="40"/>
      <c r="B13" s="18"/>
      <c r="C13" s="135" t="s">
        <v>40</v>
      </c>
      <c r="D13" s="52" t="s">
        <v>41</v>
      </c>
      <c r="E13" s="129"/>
      <c r="F13" s="130" t="s">
        <v>42</v>
      </c>
      <c r="G13" s="205" t="s">
        <v>43</v>
      </c>
      <c r="H13" s="206"/>
      <c r="I13" s="20"/>
      <c r="J13" s="53">
        <v>217.54</v>
      </c>
      <c r="K13" s="54" t="b">
        <v>0</v>
      </c>
      <c r="L13" s="207">
        <f t="shared" ref="L13:L18" si="0">IF(ISERROR(VLOOKUP(D13&amp;K13,S$12:U$23,2,FALSE)),"",VLOOKUP(D13&amp;K13,S$12:U$23,2,FALSE))</f>
        <v>166104</v>
      </c>
      <c r="M13" s="208"/>
      <c r="N13" s="55">
        <f ca="1">SUMIF(L13:M$18,L13,J13:J$18)</f>
        <v>217.54</v>
      </c>
      <c r="O13" s="40"/>
      <c r="P13" s="27"/>
      <c r="Q13" s="8">
        <v>166107</v>
      </c>
      <c r="R13" s="9" t="s">
        <v>44</v>
      </c>
      <c r="S13" s="21" t="s">
        <v>45</v>
      </c>
      <c r="T13" s="8">
        <v>166107</v>
      </c>
      <c r="U13" s="8"/>
      <c r="V13" s="9"/>
      <c r="W13" s="1" t="s">
        <v>46</v>
      </c>
      <c r="X13" s="1" t="str">
        <f t="shared" ref="X13:X65" si="1">PROPER(W13)</f>
        <v>Rail</v>
      </c>
      <c r="Y13" s="47"/>
      <c r="Z13" s="27"/>
      <c r="AA13" s="27"/>
      <c r="AB13" s="27"/>
      <c r="AC13" s="27"/>
      <c r="AD13" s="27"/>
      <c r="AE13" s="27"/>
      <c r="AF13" s="27"/>
      <c r="AG13" s="27"/>
      <c r="AH13" s="27"/>
      <c r="AI13" s="27"/>
      <c r="AJ13" s="27"/>
      <c r="AK13" s="27"/>
      <c r="AL13" s="27"/>
      <c r="AM13" s="27"/>
      <c r="AN13" s="27"/>
      <c r="AO13" s="27"/>
      <c r="AP13" s="27"/>
      <c r="AQ13" s="27"/>
      <c r="AR13" s="27"/>
      <c r="AS13" s="27"/>
      <c r="AT13" s="27"/>
    </row>
    <row r="14" spans="1:46" s="41" customFormat="1" ht="15.75" customHeight="1" thickTop="1" thickBot="1">
      <c r="A14" s="40"/>
      <c r="B14" s="18"/>
      <c r="C14" s="52"/>
      <c r="D14" s="52"/>
      <c r="E14" s="129"/>
      <c r="F14" s="130"/>
      <c r="G14" s="205"/>
      <c r="H14" s="206"/>
      <c r="I14" s="20"/>
      <c r="J14" s="53"/>
      <c r="K14" s="54" t="b">
        <v>0</v>
      </c>
      <c r="L14" s="207" t="str">
        <f t="shared" si="0"/>
        <v/>
      </c>
      <c r="M14" s="208"/>
      <c r="N14" s="55">
        <f t="array" ref="N14">IF(OR(L14=L13:M$13),0,SUMIF(L14:M$18,L14,J14:J$18))</f>
        <v>0</v>
      </c>
      <c r="O14" s="40"/>
      <c r="Q14" s="8">
        <v>166110</v>
      </c>
      <c r="R14" s="9" t="s">
        <v>47</v>
      </c>
      <c r="S14" s="21" t="s">
        <v>48</v>
      </c>
      <c r="T14" s="8">
        <v>166110</v>
      </c>
      <c r="U14" s="8"/>
      <c r="V14" s="9"/>
      <c r="W14" s="5" t="s">
        <v>49</v>
      </c>
      <c r="X14" s="1" t="str">
        <f t="shared" si="1"/>
        <v>Taxi</v>
      </c>
      <c r="Y14" s="56"/>
    </row>
    <row r="15" spans="1:46" s="41" customFormat="1" ht="15.75" customHeight="1" thickTop="1" thickBot="1">
      <c r="A15" s="40"/>
      <c r="B15" s="18"/>
      <c r="C15" s="52"/>
      <c r="D15" s="52"/>
      <c r="E15" s="129"/>
      <c r="F15" s="130"/>
      <c r="G15" s="205"/>
      <c r="H15" s="206"/>
      <c r="I15" s="20"/>
      <c r="J15" s="53"/>
      <c r="K15" s="54" t="b">
        <v>0</v>
      </c>
      <c r="L15" s="207" t="str">
        <f t="shared" si="0"/>
        <v/>
      </c>
      <c r="M15" s="208"/>
      <c r="N15" s="55">
        <f t="array" ref="N15">IF(OR(L15=L$13:M14),0,SUMIF(L15:M$18,L15,J15:J$18))</f>
        <v>0</v>
      </c>
      <c r="O15" s="40"/>
      <c r="Q15" s="8">
        <v>166113</v>
      </c>
      <c r="R15" s="9" t="s">
        <v>50</v>
      </c>
      <c r="S15" s="21" t="s">
        <v>51</v>
      </c>
      <c r="T15" s="8">
        <v>166113</v>
      </c>
      <c r="U15" s="8"/>
      <c r="V15" s="9"/>
      <c r="W15" s="5" t="s">
        <v>52</v>
      </c>
      <c r="X15" s="1" t="str">
        <f t="shared" si="1"/>
        <v>Car Hire</v>
      </c>
      <c r="Y15" s="56"/>
    </row>
    <row r="16" spans="1:46" s="41" customFormat="1" ht="15.75" customHeight="1" thickTop="1" thickBot="1">
      <c r="A16" s="40"/>
      <c r="B16" s="18"/>
      <c r="C16" s="52"/>
      <c r="D16" s="52"/>
      <c r="E16" s="129"/>
      <c r="F16" s="130"/>
      <c r="G16" s="205"/>
      <c r="H16" s="206"/>
      <c r="I16" s="20"/>
      <c r="J16" s="53"/>
      <c r="K16" s="54" t="b">
        <v>0</v>
      </c>
      <c r="L16" s="207" t="str">
        <f t="shared" si="0"/>
        <v/>
      </c>
      <c r="M16" s="208"/>
      <c r="N16" s="55">
        <f t="array" ref="N16">IF(OR(L16=L$13:M15),0,SUMIF(L16:M$18,L16,J16:J$18))</f>
        <v>0</v>
      </c>
      <c r="O16" s="40"/>
      <c r="Q16" s="8">
        <v>166116</v>
      </c>
      <c r="R16" s="9" t="s">
        <v>53</v>
      </c>
      <c r="S16" s="21" t="s">
        <v>54</v>
      </c>
      <c r="T16" s="8">
        <v>166116</v>
      </c>
      <c r="U16" s="8"/>
      <c r="V16" s="9"/>
      <c r="W16" s="5" t="s">
        <v>55</v>
      </c>
      <c r="X16" s="1" t="str">
        <f t="shared" si="1"/>
        <v>Car Parking</v>
      </c>
      <c r="Y16" s="56"/>
    </row>
    <row r="17" spans="1:46" s="41" customFormat="1" ht="15.75" customHeight="1" thickTop="1" thickBot="1">
      <c r="A17" s="40"/>
      <c r="B17" s="18"/>
      <c r="C17" s="52"/>
      <c r="D17" s="52"/>
      <c r="E17" s="129"/>
      <c r="F17" s="130"/>
      <c r="G17" s="205"/>
      <c r="H17" s="206"/>
      <c r="I17" s="20"/>
      <c r="J17" s="53"/>
      <c r="K17" s="54" t="b">
        <v>0</v>
      </c>
      <c r="L17" s="207" t="str">
        <f t="shared" si="0"/>
        <v/>
      </c>
      <c r="M17" s="208"/>
      <c r="N17" s="55">
        <f t="array" ref="N17">IF(OR(L17=L$13:M16),0,SUMIF(L17:M$18,L17,J17:J$18))</f>
        <v>0</v>
      </c>
      <c r="O17" s="40"/>
      <c r="Q17" s="8">
        <v>166119</v>
      </c>
      <c r="R17" s="9" t="s">
        <v>56</v>
      </c>
      <c r="S17" s="21" t="s">
        <v>57</v>
      </c>
      <c r="T17" s="8">
        <v>166119</v>
      </c>
      <c r="U17" s="8"/>
      <c r="V17" s="9"/>
      <c r="W17" s="5" t="s">
        <v>58</v>
      </c>
      <c r="X17" s="1" t="str">
        <f t="shared" si="1"/>
        <v>Other</v>
      </c>
      <c r="Y17" s="56"/>
    </row>
    <row r="18" spans="1:46" s="41" customFormat="1" ht="15.75" customHeight="1" thickTop="1" thickBot="1">
      <c r="A18" s="40"/>
      <c r="B18" s="18"/>
      <c r="C18" s="52"/>
      <c r="D18" s="52"/>
      <c r="E18" s="129"/>
      <c r="F18" s="130"/>
      <c r="G18" s="205"/>
      <c r="H18" s="206"/>
      <c r="I18" s="20"/>
      <c r="J18" s="53"/>
      <c r="K18" s="54" t="b">
        <v>0</v>
      </c>
      <c r="L18" s="207" t="str">
        <f t="shared" si="0"/>
        <v/>
      </c>
      <c r="M18" s="208"/>
      <c r="N18" s="55">
        <f t="array" ref="N18">IF(OR(L18=L$13:M17),0,SUMIF(L18:M$18,L18,J18:J$18))</f>
        <v>0</v>
      </c>
      <c r="O18" s="40"/>
      <c r="Q18" s="8">
        <v>166128</v>
      </c>
      <c r="R18" s="9" t="s">
        <v>49</v>
      </c>
      <c r="S18" s="21" t="s">
        <v>59</v>
      </c>
      <c r="T18" s="8">
        <v>166128</v>
      </c>
      <c r="U18" s="8"/>
      <c r="V18" s="9"/>
      <c r="W18" s="5"/>
      <c r="X18" s="1" t="str">
        <f t="shared" si="1"/>
        <v/>
      </c>
      <c r="Y18" s="56"/>
    </row>
    <row r="19" spans="1:46" ht="15.75" customHeight="1" thickTop="1">
      <c r="A19" s="57"/>
      <c r="B19" s="48"/>
      <c r="C19" s="200" t="s">
        <v>60</v>
      </c>
      <c r="D19" s="201"/>
      <c r="E19" s="201"/>
      <c r="F19" s="201"/>
      <c r="G19" s="201"/>
      <c r="H19" s="201"/>
      <c r="I19" s="201"/>
      <c r="J19" s="58">
        <f>SUM(J13:J18)</f>
        <v>217.54</v>
      </c>
      <c r="K19" s="59"/>
      <c r="L19" s="60"/>
      <c r="M19" s="60"/>
      <c r="N19" s="61">
        <f ca="1">SUM(N13:N18)</f>
        <v>217.54</v>
      </c>
      <c r="P19" s="41"/>
      <c r="Q19" s="8">
        <v>166128</v>
      </c>
      <c r="R19" s="9" t="s">
        <v>49</v>
      </c>
      <c r="S19" s="21" t="s">
        <v>61</v>
      </c>
      <c r="T19" s="8">
        <v>166128</v>
      </c>
      <c r="U19" s="8"/>
      <c r="V19" s="9"/>
      <c r="W19" s="62" t="s">
        <v>62</v>
      </c>
      <c r="X19" s="1" t="str">
        <f t="shared" si="1"/>
        <v>↓↓↓↓Common Types↓↓↓↓</v>
      </c>
      <c r="Y19" s="56"/>
      <c r="Z19" s="41"/>
      <c r="AA19" s="41"/>
      <c r="AB19" s="41"/>
      <c r="AC19" s="41"/>
      <c r="AD19" s="41"/>
      <c r="AE19" s="41"/>
      <c r="AF19" s="41"/>
      <c r="AG19" s="41"/>
      <c r="AH19" s="41"/>
      <c r="AI19" s="41"/>
      <c r="AJ19" s="41"/>
      <c r="AK19" s="41"/>
      <c r="AL19" s="41"/>
      <c r="AM19" s="41"/>
      <c r="AN19" s="41"/>
      <c r="AO19" s="41"/>
      <c r="AP19" s="41"/>
      <c r="AQ19" s="41"/>
      <c r="AR19" s="41"/>
      <c r="AS19" s="41"/>
      <c r="AT19" s="41"/>
    </row>
    <row r="20" spans="1:46" ht="25.5" customHeight="1">
      <c r="A20" s="57"/>
      <c r="B20" s="48"/>
      <c r="C20" s="63" t="s">
        <v>63</v>
      </c>
      <c r="D20" s="138" t="s">
        <v>64</v>
      </c>
      <c r="E20" s="220"/>
      <c r="F20" s="221"/>
      <c r="G20" s="222" t="s">
        <v>65</v>
      </c>
      <c r="H20" s="223"/>
      <c r="I20" s="223"/>
      <c r="J20" s="220"/>
      <c r="K20" s="221"/>
      <c r="L20" s="64"/>
      <c r="M20" s="64"/>
      <c r="N20" s="64"/>
      <c r="O20" s="57"/>
      <c r="Q20" s="8">
        <v>166131</v>
      </c>
      <c r="R20" s="9" t="s">
        <v>66</v>
      </c>
      <c r="S20" s="21" t="s">
        <v>67</v>
      </c>
      <c r="T20" s="8">
        <v>166131</v>
      </c>
      <c r="U20" s="8"/>
      <c r="V20" s="7"/>
      <c r="W20" t="s">
        <v>68</v>
      </c>
      <c r="X20" s="1" t="str">
        <f t="shared" si="1"/>
        <v>Books</v>
      </c>
      <c r="Y20" s="47"/>
    </row>
    <row r="21" spans="1:46" ht="12" customHeight="1">
      <c r="A21" s="57"/>
      <c r="B21" s="57"/>
      <c r="C21" s="65"/>
      <c r="D21" s="66"/>
      <c r="E21" s="66"/>
      <c r="F21" s="66"/>
      <c r="G21" s="66"/>
      <c r="H21" s="66"/>
      <c r="I21" s="66"/>
      <c r="J21" s="66"/>
      <c r="K21" s="66"/>
      <c r="L21" s="66"/>
      <c r="M21" s="66"/>
      <c r="N21" s="66"/>
      <c r="Q21" s="8">
        <v>166134</v>
      </c>
      <c r="R21" s="9" t="s">
        <v>69</v>
      </c>
      <c r="S21" s="21" t="s">
        <v>70</v>
      </c>
      <c r="T21" s="8">
        <v>166134</v>
      </c>
      <c r="U21" s="8"/>
      <c r="V21" s="9"/>
      <c r="W21" s="67" t="s">
        <v>71</v>
      </c>
      <c r="X21" s="1" t="str">
        <f t="shared" si="1"/>
        <v>Conference Fees</v>
      </c>
      <c r="Y21" s="47"/>
    </row>
    <row r="22" spans="1:46" ht="15.75" customHeight="1">
      <c r="A22" s="57"/>
      <c r="B22" s="48"/>
      <c r="C22" s="68" t="s">
        <v>72</v>
      </c>
      <c r="D22" s="69"/>
      <c r="E22" s="69"/>
      <c r="F22" s="69"/>
      <c r="G22" s="69"/>
      <c r="H22" s="69"/>
      <c r="I22" s="69"/>
      <c r="J22" s="69"/>
      <c r="K22" s="69"/>
      <c r="L22" s="69"/>
      <c r="M22" s="69"/>
      <c r="N22" s="70"/>
      <c r="Q22" s="8">
        <v>166137</v>
      </c>
      <c r="R22" s="9" t="s">
        <v>73</v>
      </c>
      <c r="S22" s="9" t="s">
        <v>74</v>
      </c>
      <c r="T22" s="8">
        <v>166137</v>
      </c>
      <c r="U22" s="8"/>
      <c r="V22" s="9"/>
      <c r="W22" t="s">
        <v>75</v>
      </c>
      <c r="X22" s="1" t="str">
        <f t="shared" si="1"/>
        <v>Equipment Purchase</v>
      </c>
      <c r="Y22" s="47"/>
    </row>
    <row r="23" spans="1:46" ht="32.25" customHeight="1" thickBot="1">
      <c r="A23" s="57"/>
      <c r="B23" s="48"/>
      <c r="C23" s="50" t="s">
        <v>76</v>
      </c>
      <c r="D23" s="143" t="s">
        <v>77</v>
      </c>
      <c r="E23" s="127" t="s">
        <v>29</v>
      </c>
      <c r="F23" s="128" t="s">
        <v>30</v>
      </c>
      <c r="G23" s="202" t="s">
        <v>31</v>
      </c>
      <c r="H23" s="202"/>
      <c r="I23" s="143" t="s">
        <v>78</v>
      </c>
      <c r="J23" s="71" t="s">
        <v>33</v>
      </c>
      <c r="K23" s="51" t="s">
        <v>79</v>
      </c>
      <c r="L23" s="203" t="s">
        <v>35</v>
      </c>
      <c r="M23" s="204"/>
      <c r="N23" s="139" t="s">
        <v>36</v>
      </c>
      <c r="Q23" s="8">
        <v>166137</v>
      </c>
      <c r="R23" s="9" t="s">
        <v>73</v>
      </c>
      <c r="S23" s="9" t="s">
        <v>80</v>
      </c>
      <c r="T23" s="8">
        <v>166137</v>
      </c>
      <c r="U23" s="8"/>
      <c r="V23" s="7"/>
      <c r="W23" t="s">
        <v>81</v>
      </c>
      <c r="X23" s="1" t="str">
        <f t="shared" si="1"/>
        <v>Examination Fees</v>
      </c>
      <c r="Y23" s="47"/>
    </row>
    <row r="24" spans="1:46" s="41" customFormat="1" ht="15.75" customHeight="1" thickTop="1" thickBot="1">
      <c r="A24" s="40"/>
      <c r="B24" s="18"/>
      <c r="C24" s="52"/>
      <c r="D24" s="141"/>
      <c r="E24" s="129"/>
      <c r="F24" s="130"/>
      <c r="G24" s="219"/>
      <c r="H24" s="219"/>
      <c r="I24" s="20">
        <v>0.45</v>
      </c>
      <c r="J24" s="72" t="str">
        <f>IF(D24&lt;&gt;"",I24*D24,"")</f>
        <v/>
      </c>
      <c r="K24" s="54" t="b">
        <v>0</v>
      </c>
      <c r="L24" s="207" t="str">
        <f>IF(J24&lt;&gt;"",VLOOKUP("MILEAGE"&amp;K24,S$28:T$29,2,FALSE),"")</f>
        <v/>
      </c>
      <c r="M24" s="208"/>
      <c r="N24" s="55">
        <f ca="1">SUMIF(L$24:M26,L24,J$24:J26)</f>
        <v>0</v>
      </c>
      <c r="O24" s="40"/>
      <c r="P24" s="27"/>
      <c r="Q24" s="8">
        <v>166140</v>
      </c>
      <c r="R24" s="9" t="s">
        <v>82</v>
      </c>
      <c r="S24" s="9"/>
      <c r="T24" s="8">
        <v>166140</v>
      </c>
      <c r="U24" s="5"/>
      <c r="V24" s="9"/>
      <c r="W24" t="s">
        <v>83</v>
      </c>
      <c r="X24" s="1" t="str">
        <f t="shared" si="1"/>
        <v>Hotel / Subsistence</v>
      </c>
      <c r="Y24" s="47"/>
      <c r="Z24" s="27"/>
      <c r="AA24" s="27"/>
      <c r="AB24" s="27"/>
      <c r="AC24" s="27"/>
      <c r="AD24" s="27"/>
      <c r="AE24" s="27"/>
      <c r="AF24" s="27"/>
      <c r="AG24" s="27"/>
      <c r="AH24" s="27"/>
      <c r="AI24" s="27"/>
      <c r="AJ24" s="27"/>
      <c r="AK24" s="27"/>
      <c r="AL24" s="27"/>
      <c r="AM24" s="27"/>
      <c r="AN24" s="27"/>
      <c r="AO24" s="27"/>
      <c r="AP24" s="27"/>
      <c r="AQ24" s="27"/>
      <c r="AR24" s="27"/>
      <c r="AS24" s="27"/>
      <c r="AT24" s="27"/>
    </row>
    <row r="25" spans="1:46" s="41" customFormat="1" ht="15.75" customHeight="1" thickTop="1" thickBot="1">
      <c r="A25" s="40"/>
      <c r="B25" s="18"/>
      <c r="C25" s="52"/>
      <c r="D25" s="141"/>
      <c r="E25" s="129"/>
      <c r="F25" s="130"/>
      <c r="G25" s="219"/>
      <c r="H25" s="219"/>
      <c r="I25" s="20">
        <v>0.45</v>
      </c>
      <c r="J25" s="72" t="str">
        <f>IF(D25&lt;&gt;"",I25*D25,"")</f>
        <v/>
      </c>
      <c r="K25" s="54" t="b">
        <v>0</v>
      </c>
      <c r="L25" s="207" t="str">
        <f>IF(J25&lt;&gt;"",VLOOKUP("MILEAGE"&amp;K25,S$28:T$29,2,FALSE),"")</f>
        <v/>
      </c>
      <c r="M25" s="208"/>
      <c r="N25" s="55">
        <f t="array" ref="N25">IF(OR(L25=L$24:M24),0,SUMIF(L25:M$26,L25,J25:J$26))</f>
        <v>0</v>
      </c>
      <c r="O25" s="40"/>
      <c r="Q25" s="5"/>
      <c r="R25" s="5"/>
      <c r="S25" s="5"/>
      <c r="T25" s="5"/>
      <c r="U25" s="1"/>
      <c r="V25" s="9"/>
      <c r="W25" t="s">
        <v>84</v>
      </c>
      <c r="X25" s="1" t="str">
        <f t="shared" si="1"/>
        <v>Internet Cost</v>
      </c>
      <c r="Y25" s="56"/>
    </row>
    <row r="26" spans="1:46" s="41" customFormat="1" ht="15.75" customHeight="1" thickTop="1" thickBot="1">
      <c r="A26" s="40"/>
      <c r="B26" s="18"/>
      <c r="C26" s="52"/>
      <c r="D26" s="141"/>
      <c r="E26" s="129"/>
      <c r="F26" s="130"/>
      <c r="G26" s="219"/>
      <c r="H26" s="219"/>
      <c r="I26" s="20">
        <v>0.45</v>
      </c>
      <c r="J26" s="72" t="str">
        <f>IF(D26&lt;&gt;"",I26*D26,"")</f>
        <v/>
      </c>
      <c r="K26" s="54" t="b">
        <v>0</v>
      </c>
      <c r="L26" s="207" t="str">
        <f>IF(J26&lt;&gt;"",VLOOKUP("MILEAGE"&amp;K26,S$28:T$29,2,FALSE),"")</f>
        <v/>
      </c>
      <c r="M26" s="208"/>
      <c r="N26" s="55">
        <f t="array" ref="N26">IF(OR(L26=L$24:M25),0,SUMIF(L26:M$26,L26,J26:J$26))</f>
        <v>0</v>
      </c>
      <c r="O26" s="40"/>
      <c r="Q26" s="5"/>
      <c r="R26" s="5"/>
      <c r="S26" s="5"/>
      <c r="T26" s="5"/>
      <c r="U26" s="1"/>
      <c r="V26" s="9"/>
      <c r="W26" t="s">
        <v>85</v>
      </c>
      <c r="X26" s="1" t="str">
        <f t="shared" si="1"/>
        <v>Lab Supplies</v>
      </c>
      <c r="Y26" s="56"/>
    </row>
    <row r="27" spans="1:46" ht="15.75" customHeight="1" thickTop="1">
      <c r="A27" s="57"/>
      <c r="B27" s="48"/>
      <c r="C27" s="231" t="s">
        <v>86</v>
      </c>
      <c r="D27" s="232"/>
      <c r="E27" s="232"/>
      <c r="F27" s="232"/>
      <c r="G27" s="232"/>
      <c r="H27" s="232"/>
      <c r="I27" s="232"/>
      <c r="J27" s="73">
        <f>SUM(J24:J26)</f>
        <v>0</v>
      </c>
      <c r="K27" s="74"/>
      <c r="L27" s="60"/>
      <c r="M27" s="60"/>
      <c r="N27" s="61">
        <f ca="1">SUM(N24:N26)</f>
        <v>0</v>
      </c>
      <c r="P27" s="41"/>
      <c r="R27" s="12" t="s">
        <v>87</v>
      </c>
      <c r="V27" s="7"/>
      <c r="W27" t="s">
        <v>88</v>
      </c>
      <c r="X27" s="1" t="str">
        <f t="shared" si="1"/>
        <v>Membership Subs.</v>
      </c>
      <c r="Y27" s="56"/>
      <c r="Z27" s="41"/>
      <c r="AA27" s="41"/>
      <c r="AB27" s="41"/>
      <c r="AC27" s="41"/>
      <c r="AD27" s="41"/>
      <c r="AE27" s="41"/>
      <c r="AF27" s="41"/>
      <c r="AG27" s="41"/>
      <c r="AH27" s="41"/>
      <c r="AI27" s="41"/>
      <c r="AJ27" s="41"/>
      <c r="AK27" s="41"/>
      <c r="AL27" s="41"/>
      <c r="AM27" s="41"/>
      <c r="AN27" s="41"/>
      <c r="AO27" s="41"/>
      <c r="AP27" s="41"/>
      <c r="AQ27" s="41"/>
      <c r="AR27" s="41"/>
      <c r="AS27" s="41"/>
      <c r="AT27" s="41"/>
    </row>
    <row r="28" spans="1:46" ht="25.5" customHeight="1">
      <c r="A28" s="57"/>
      <c r="B28" s="48"/>
      <c r="C28" s="63" t="s">
        <v>63</v>
      </c>
      <c r="D28" s="138" t="s">
        <v>64</v>
      </c>
      <c r="E28" s="220"/>
      <c r="F28" s="221"/>
      <c r="G28" s="222" t="s">
        <v>65</v>
      </c>
      <c r="H28" s="223"/>
      <c r="I28" s="223"/>
      <c r="J28" s="220"/>
      <c r="K28" s="221"/>
      <c r="L28" s="64"/>
      <c r="M28" s="64"/>
      <c r="N28" s="64"/>
      <c r="O28" s="57"/>
      <c r="Q28" s="8">
        <v>166122</v>
      </c>
      <c r="R28" s="9" t="s">
        <v>89</v>
      </c>
      <c r="S28" s="1" t="s">
        <v>90</v>
      </c>
      <c r="T28" s="8">
        <v>166122</v>
      </c>
      <c r="U28" s="5"/>
      <c r="V28" s="7"/>
      <c r="W28" t="s">
        <v>91</v>
      </c>
      <c r="X28" s="1" t="str">
        <f t="shared" si="1"/>
        <v>Mobile Calls/Rent</v>
      </c>
      <c r="Y28" s="47"/>
    </row>
    <row r="29" spans="1:46" ht="12" customHeight="1">
      <c r="A29" s="57"/>
      <c r="B29" s="57"/>
      <c r="C29" s="65"/>
      <c r="D29" s="66"/>
      <c r="E29" s="66"/>
      <c r="F29" s="66"/>
      <c r="G29" s="66"/>
      <c r="H29" s="66"/>
      <c r="I29" s="66"/>
      <c r="J29" s="233"/>
      <c r="K29" s="234"/>
      <c r="L29" s="234"/>
      <c r="M29" s="234"/>
      <c r="N29" s="234"/>
      <c r="P29" s="41"/>
      <c r="Q29" s="8">
        <v>166125</v>
      </c>
      <c r="R29" s="9" t="s">
        <v>92</v>
      </c>
      <c r="S29" s="9" t="s">
        <v>93</v>
      </c>
      <c r="T29" s="8">
        <v>166125</v>
      </c>
      <c r="V29" s="9"/>
      <c r="W29" t="s">
        <v>94</v>
      </c>
      <c r="X29" s="1" t="str">
        <f t="shared" si="1"/>
        <v>Office Sundries</v>
      </c>
      <c r="Y29" s="56"/>
      <c r="Z29" s="41"/>
      <c r="AA29" s="41"/>
      <c r="AB29" s="41"/>
      <c r="AC29" s="41"/>
      <c r="AD29" s="41"/>
      <c r="AE29" s="41"/>
      <c r="AF29" s="41"/>
      <c r="AG29" s="41"/>
      <c r="AH29" s="41"/>
      <c r="AI29" s="41"/>
      <c r="AJ29" s="41"/>
      <c r="AK29" s="41"/>
      <c r="AL29" s="41"/>
      <c r="AM29" s="41"/>
      <c r="AN29" s="41"/>
      <c r="AO29" s="41"/>
      <c r="AP29" s="41"/>
      <c r="AQ29" s="41"/>
      <c r="AR29" s="41"/>
      <c r="AS29" s="41"/>
      <c r="AT29" s="41"/>
    </row>
    <row r="30" spans="1:46" ht="15.75" customHeight="1">
      <c r="A30" s="57"/>
      <c r="B30" s="48"/>
      <c r="C30" s="235" t="s">
        <v>95</v>
      </c>
      <c r="D30" s="236"/>
      <c r="E30" s="236"/>
      <c r="F30" s="236"/>
      <c r="G30" s="236"/>
      <c r="H30" s="236"/>
      <c r="I30" s="236"/>
      <c r="J30" s="236"/>
      <c r="K30" s="236"/>
      <c r="L30" s="236"/>
      <c r="M30" s="236"/>
      <c r="N30" s="236"/>
      <c r="S30" s="10"/>
      <c r="U30" s="5"/>
      <c r="V30" s="9"/>
      <c r="W30" t="s">
        <v>96</v>
      </c>
      <c r="X30" s="1" t="str">
        <f t="shared" si="1"/>
        <v>Prizes / Awards</v>
      </c>
      <c r="Y30" s="47"/>
    </row>
    <row r="31" spans="1:46" ht="35.25" customHeight="1" thickBot="1">
      <c r="A31" s="57"/>
      <c r="B31" s="48"/>
      <c r="C31" s="75" t="s">
        <v>27</v>
      </c>
      <c r="D31" s="142" t="s">
        <v>97</v>
      </c>
      <c r="E31" s="224" t="s">
        <v>98</v>
      </c>
      <c r="F31" s="225"/>
      <c r="G31" s="226" t="s">
        <v>99</v>
      </c>
      <c r="H31" s="226"/>
      <c r="I31" s="142" t="s">
        <v>32</v>
      </c>
      <c r="J31" s="143" t="s">
        <v>33</v>
      </c>
      <c r="K31" s="76" t="s">
        <v>100</v>
      </c>
      <c r="L31" s="203" t="s">
        <v>35</v>
      </c>
      <c r="M31" s="204"/>
      <c r="N31" s="139" t="s">
        <v>36</v>
      </c>
      <c r="R31" s="7" t="s">
        <v>101</v>
      </c>
      <c r="S31" s="10"/>
      <c r="T31" s="5"/>
      <c r="U31" s="5"/>
      <c r="V31" s="9"/>
      <c r="W31" t="s">
        <v>102</v>
      </c>
      <c r="X31" s="1" t="str">
        <f t="shared" si="1"/>
        <v>Rents Payable</v>
      </c>
      <c r="Y31" s="47"/>
    </row>
    <row r="32" spans="1:46" s="41" customFormat="1" ht="15.75" customHeight="1" thickTop="1" thickBot="1">
      <c r="A32" s="40"/>
      <c r="B32" s="18"/>
      <c r="C32" s="52"/>
      <c r="D32" s="140"/>
      <c r="E32" s="227"/>
      <c r="F32" s="228"/>
      <c r="G32" s="229"/>
      <c r="H32" s="230"/>
      <c r="I32" s="19"/>
      <c r="J32" s="53"/>
      <c r="K32" s="77" t="b">
        <v>0</v>
      </c>
      <c r="L32" s="207" t="str">
        <f>IF(J32&lt;&gt;"",VLOOKUP("HOSPITALITY"&amp;K32,S$32:T$33,2,FALSE),"")</f>
        <v/>
      </c>
      <c r="M32" s="208"/>
      <c r="N32" s="55">
        <f ca="1">SUMIF(L$32:M35,L32,J$32:J35)</f>
        <v>0</v>
      </c>
      <c r="O32" s="40"/>
      <c r="P32" s="27"/>
      <c r="Q32" s="8">
        <v>169304</v>
      </c>
      <c r="R32" s="9" t="s">
        <v>103</v>
      </c>
      <c r="S32" s="9" t="s">
        <v>104</v>
      </c>
      <c r="T32" s="8">
        <v>169304</v>
      </c>
      <c r="U32" s="5"/>
      <c r="V32" s="7"/>
      <c r="W32" t="s">
        <v>105</v>
      </c>
      <c r="X32" s="1" t="str">
        <f t="shared" si="1"/>
        <v>Safety Expenses</v>
      </c>
      <c r="Y32" s="47"/>
      <c r="Z32" s="27"/>
      <c r="AA32" s="27"/>
      <c r="AB32" s="27"/>
      <c r="AC32" s="27"/>
      <c r="AD32" s="27"/>
      <c r="AE32" s="27"/>
      <c r="AF32" s="27"/>
      <c r="AG32" s="27"/>
      <c r="AH32" s="27"/>
      <c r="AI32" s="27"/>
      <c r="AJ32" s="27"/>
      <c r="AK32" s="27"/>
      <c r="AL32" s="27"/>
      <c r="AM32" s="27"/>
      <c r="AN32" s="27"/>
      <c r="AO32" s="27"/>
      <c r="AP32" s="27"/>
      <c r="AQ32" s="27"/>
      <c r="AR32" s="27"/>
      <c r="AS32" s="27"/>
      <c r="AT32" s="27"/>
    </row>
    <row r="33" spans="1:46" s="41" customFormat="1" ht="15.75" customHeight="1" thickTop="1" thickBot="1">
      <c r="A33" s="40"/>
      <c r="B33" s="18"/>
      <c r="C33" s="52"/>
      <c r="D33" s="140"/>
      <c r="E33" s="227"/>
      <c r="F33" s="228"/>
      <c r="G33" s="229"/>
      <c r="H33" s="230"/>
      <c r="I33" s="19"/>
      <c r="J33" s="53"/>
      <c r="K33" s="77" t="b">
        <v>0</v>
      </c>
      <c r="L33" s="207" t="str">
        <f>IF(J33&lt;&gt;"",VLOOKUP("HOSPITALITY"&amp;K33,S$32:T$33,2,FALSE),"")</f>
        <v/>
      </c>
      <c r="M33" s="208"/>
      <c r="N33" s="55">
        <f t="array" ref="N33">IF(OR(L33=L$32:M32),0,SUMIF(L33:M$35,L33,J33:J$35))</f>
        <v>0</v>
      </c>
      <c r="O33" s="40"/>
      <c r="Q33" s="8">
        <v>169307</v>
      </c>
      <c r="R33" s="9" t="s">
        <v>106</v>
      </c>
      <c r="S33" s="9" t="s">
        <v>107</v>
      </c>
      <c r="T33" s="8">
        <v>169307</v>
      </c>
      <c r="U33" s="5"/>
      <c r="V33" s="9"/>
      <c r="W33" t="s">
        <v>108</v>
      </c>
      <c r="X33" s="1" t="str">
        <f t="shared" si="1"/>
        <v>Software Purchases</v>
      </c>
      <c r="Y33" s="56"/>
    </row>
    <row r="34" spans="1:46" s="41" customFormat="1" ht="15.75" customHeight="1" thickTop="1" thickBot="1">
      <c r="A34" s="40"/>
      <c r="B34" s="18"/>
      <c r="C34" s="52"/>
      <c r="D34" s="140"/>
      <c r="E34" s="227"/>
      <c r="F34" s="228"/>
      <c r="G34" s="229"/>
      <c r="H34" s="230"/>
      <c r="I34" s="132"/>
      <c r="J34" s="53"/>
      <c r="K34" s="77" t="b">
        <v>0</v>
      </c>
      <c r="L34" s="207" t="str">
        <f>IF(J34&lt;&gt;"",VLOOKUP("HOSPITALITY"&amp;K34,S$32:T$33,2,FALSE),"")</f>
        <v/>
      </c>
      <c r="M34" s="208"/>
      <c r="N34" s="55">
        <f t="array" ref="N34">IF(OR(L34=L$32:M33),0,SUMIF(L34:M$35,L34,J34:J$35))</f>
        <v>0</v>
      </c>
      <c r="O34" s="40"/>
      <c r="Q34" s="5"/>
      <c r="R34" s="5"/>
      <c r="S34" s="9"/>
      <c r="T34" s="5"/>
      <c r="U34" s="1"/>
      <c r="V34" s="9"/>
      <c r="W34" t="s">
        <v>109</v>
      </c>
      <c r="X34" s="1" t="str">
        <f t="shared" si="1"/>
        <v>Training / Course Fees</v>
      </c>
      <c r="Y34" s="56"/>
    </row>
    <row r="35" spans="1:46" s="41" customFormat="1" ht="15.75" customHeight="1" thickTop="1" thickBot="1">
      <c r="A35" s="40"/>
      <c r="B35" s="18"/>
      <c r="C35" s="52"/>
      <c r="D35" s="140"/>
      <c r="E35" s="227"/>
      <c r="F35" s="228"/>
      <c r="G35" s="229"/>
      <c r="H35" s="230"/>
      <c r="I35" s="132"/>
      <c r="J35" s="53"/>
      <c r="K35" s="77" t="b">
        <v>0</v>
      </c>
      <c r="L35" s="207" t="str">
        <f>IF(J35&lt;&gt;"",VLOOKUP("HOSPITALITY"&amp;K35,S$32:T$33,2,FALSE),"")</f>
        <v/>
      </c>
      <c r="M35" s="208"/>
      <c r="N35" s="55">
        <f t="array" ref="N35">IF(OR(L35=L$32:M34),0,SUMIF(L35:M$35,L35,J35:J$35))</f>
        <v>0</v>
      </c>
      <c r="O35" s="40"/>
      <c r="Q35" s="1"/>
      <c r="R35" s="1"/>
      <c r="S35" s="1"/>
      <c r="T35" s="1"/>
      <c r="U35" s="1"/>
      <c r="V35" s="9"/>
      <c r="W35" s="62" t="s">
        <v>110</v>
      </c>
      <c r="X35" s="1" t="str">
        <f t="shared" si="1"/>
        <v>↓↓↓↓↓Other Types↓↓↓↓↓</v>
      </c>
      <c r="Y35" s="56"/>
    </row>
    <row r="36" spans="1:46" ht="15.75" customHeight="1" thickTop="1">
      <c r="A36" s="57"/>
      <c r="B36" s="48"/>
      <c r="C36" s="235" t="s">
        <v>111</v>
      </c>
      <c r="D36" s="236"/>
      <c r="E36" s="236"/>
      <c r="F36" s="236"/>
      <c r="G36" s="236"/>
      <c r="H36" s="236"/>
      <c r="I36" s="236"/>
      <c r="J36" s="73">
        <f>SUM(J32:J35)</f>
        <v>0</v>
      </c>
      <c r="K36" s="78"/>
      <c r="L36" s="79"/>
      <c r="M36" s="79"/>
      <c r="N36" s="61">
        <f ca="1">SUM(N32:N35)</f>
        <v>0</v>
      </c>
      <c r="P36" s="41"/>
      <c r="R36" s="7" t="s">
        <v>112</v>
      </c>
      <c r="S36" s="5"/>
      <c r="T36" s="5"/>
      <c r="V36" s="9"/>
      <c r="W36" t="s">
        <v>113</v>
      </c>
      <c r="X36" s="1" t="str">
        <f t="shared" si="1"/>
        <v>Av Equipment</v>
      </c>
      <c r="Y36" s="56"/>
      <c r="Z36" s="41"/>
      <c r="AA36" s="41"/>
      <c r="AB36" s="41"/>
      <c r="AC36" s="41"/>
      <c r="AD36" s="41"/>
      <c r="AE36" s="41"/>
      <c r="AF36" s="41"/>
      <c r="AG36" s="41"/>
      <c r="AH36" s="41"/>
      <c r="AI36" s="41"/>
      <c r="AJ36" s="41"/>
      <c r="AK36" s="41"/>
      <c r="AL36" s="41"/>
      <c r="AM36" s="41"/>
      <c r="AN36" s="41"/>
      <c r="AO36" s="41"/>
      <c r="AP36" s="41"/>
      <c r="AQ36" s="41"/>
      <c r="AR36" s="41"/>
      <c r="AS36" s="41"/>
      <c r="AT36" s="41"/>
    </row>
    <row r="37" spans="1:46" ht="25.5" customHeight="1">
      <c r="A37" s="57"/>
      <c r="B37" s="48"/>
      <c r="C37" s="63" t="s">
        <v>63</v>
      </c>
      <c r="D37" s="138" t="s">
        <v>64</v>
      </c>
      <c r="E37" s="220"/>
      <c r="F37" s="221"/>
      <c r="G37" s="222" t="s">
        <v>65</v>
      </c>
      <c r="H37" s="223"/>
      <c r="I37" s="223"/>
      <c r="J37" s="220"/>
      <c r="K37" s="221"/>
      <c r="L37" s="64"/>
      <c r="M37" s="64"/>
      <c r="N37" s="64"/>
      <c r="O37" s="57"/>
      <c r="Q37" s="8">
        <v>166304</v>
      </c>
      <c r="R37" s="9" t="s">
        <v>114</v>
      </c>
      <c r="S37" t="s">
        <v>115</v>
      </c>
      <c r="T37" s="8">
        <v>166304</v>
      </c>
      <c r="U37" s="5"/>
      <c r="V37" s="9"/>
      <c r="W37" t="s">
        <v>116</v>
      </c>
      <c r="X37" s="1" t="str">
        <f t="shared" si="1"/>
        <v>Av Materials</v>
      </c>
      <c r="Y37" s="47"/>
    </row>
    <row r="38" spans="1:46" ht="18" customHeight="1">
      <c r="A38" s="57"/>
      <c r="B38" s="57"/>
      <c r="C38" s="66"/>
      <c r="D38" s="66"/>
      <c r="E38" s="66"/>
      <c r="F38" s="66"/>
      <c r="G38" s="66"/>
      <c r="H38" s="66"/>
      <c r="I38" s="66"/>
      <c r="J38" s="66"/>
      <c r="K38" s="66"/>
      <c r="L38" s="66"/>
      <c r="M38" s="66"/>
      <c r="N38" s="66"/>
      <c r="Q38" s="8">
        <v>166307</v>
      </c>
      <c r="R38" s="9" t="s">
        <v>117</v>
      </c>
      <c r="S38" t="s">
        <v>118</v>
      </c>
      <c r="T38" s="8">
        <v>166307</v>
      </c>
      <c r="U38" s="5"/>
      <c r="V38" s="7"/>
      <c r="W38" t="s">
        <v>119</v>
      </c>
      <c r="X38" s="1" t="str">
        <f t="shared" si="1"/>
        <v>Cleaning Materials</v>
      </c>
      <c r="Y38" s="47"/>
      <c r="AA38" s="41"/>
      <c r="AB38" s="41"/>
      <c r="AC38" s="41"/>
      <c r="AD38" s="41"/>
      <c r="AE38" s="41"/>
      <c r="AF38" s="41"/>
      <c r="AG38" s="41"/>
      <c r="AH38" s="41"/>
      <c r="AI38" s="41"/>
      <c r="AJ38" s="41"/>
      <c r="AK38" s="41"/>
      <c r="AL38" s="41"/>
      <c r="AM38" s="41"/>
      <c r="AN38" s="41"/>
      <c r="AO38" s="41"/>
      <c r="AP38" s="41"/>
      <c r="AQ38" s="41"/>
      <c r="AR38" s="41"/>
      <c r="AS38" s="41"/>
      <c r="AT38" s="41"/>
    </row>
    <row r="39" spans="1:46" ht="15.75" customHeight="1">
      <c r="A39" s="57"/>
      <c r="B39" s="48"/>
      <c r="C39" s="238" t="s">
        <v>120</v>
      </c>
      <c r="D39" s="239"/>
      <c r="E39" s="239"/>
      <c r="F39" s="239"/>
      <c r="G39" s="239"/>
      <c r="H39" s="239"/>
      <c r="I39" s="239"/>
      <c r="J39" s="239"/>
      <c r="K39" s="239"/>
      <c r="L39" s="239"/>
      <c r="M39" s="239"/>
      <c r="N39" s="239"/>
      <c r="P39" s="41"/>
      <c r="Q39" s="5"/>
      <c r="R39" s="7" t="s">
        <v>121</v>
      </c>
      <c r="S39" s="5"/>
      <c r="T39" s="5"/>
      <c r="V39" s="8"/>
      <c r="W39" t="s">
        <v>122</v>
      </c>
      <c r="X39" s="1" t="str">
        <f t="shared" si="1"/>
        <v>Clothing &amp; Uniforms</v>
      </c>
      <c r="Y39" s="56"/>
      <c r="Z39" s="41"/>
    </row>
    <row r="40" spans="1:46" ht="33.75" customHeight="1" thickBot="1">
      <c r="A40" s="57"/>
      <c r="B40" s="48"/>
      <c r="C40" s="75" t="s">
        <v>27</v>
      </c>
      <c r="D40" s="80" t="s">
        <v>123</v>
      </c>
      <c r="E40" s="240" t="s">
        <v>124</v>
      </c>
      <c r="F40" s="241"/>
      <c r="G40" s="241"/>
      <c r="H40" s="242"/>
      <c r="I40" s="142" t="s">
        <v>32</v>
      </c>
      <c r="J40" s="143" t="s">
        <v>33</v>
      </c>
      <c r="K40" s="51" t="s">
        <v>79</v>
      </c>
      <c r="L40" s="203" t="s">
        <v>35</v>
      </c>
      <c r="M40" s="204"/>
      <c r="N40" s="139" t="s">
        <v>36</v>
      </c>
      <c r="Q40" s="8">
        <v>169204</v>
      </c>
      <c r="R40" s="9" t="s">
        <v>109</v>
      </c>
      <c r="S40" t="s">
        <v>109</v>
      </c>
      <c r="T40" s="8">
        <v>169204</v>
      </c>
      <c r="U40" s="5"/>
      <c r="V40" s="13"/>
      <c r="W40" t="s">
        <v>125</v>
      </c>
      <c r="X40" s="1" t="str">
        <f t="shared" si="1"/>
        <v>Computing Equip.</v>
      </c>
      <c r="Y40" s="47"/>
    </row>
    <row r="41" spans="1:46" s="41" customFormat="1" ht="15.75" customHeight="1" thickTop="1" thickBot="1">
      <c r="A41" s="40"/>
      <c r="B41" s="18"/>
      <c r="C41" s="52"/>
      <c r="D41" s="81"/>
      <c r="E41" s="205"/>
      <c r="F41" s="237"/>
      <c r="G41" s="237"/>
      <c r="H41" s="206"/>
      <c r="I41" s="132"/>
      <c r="J41" s="53"/>
      <c r="K41" s="54" t="b">
        <v>0</v>
      </c>
      <c r="L41" s="207" t="str">
        <f t="shared" ref="L41:L47" si="2">IF(AND(J41&lt;&gt;"",D41&lt;&gt;""),VLOOKUP(IF(OR(D41=W$24,D41=W$21),D41&amp;K41,D41),S$37:T$103,2,FALSE),"")</f>
        <v/>
      </c>
      <c r="M41" s="208"/>
      <c r="N41" s="55">
        <f ca="1">SUMIF(L$41:M47,L41,J$41:J47)</f>
        <v>0</v>
      </c>
      <c r="O41" s="40"/>
      <c r="P41" s="27"/>
      <c r="Q41" s="8">
        <v>169210</v>
      </c>
      <c r="R41" s="9" t="s">
        <v>126</v>
      </c>
      <c r="S41" s="67" t="s">
        <v>127</v>
      </c>
      <c r="T41" s="8">
        <v>169210</v>
      </c>
      <c r="U41" s="5"/>
      <c r="V41" s="13"/>
      <c r="W41" t="s">
        <v>128</v>
      </c>
      <c r="X41" s="1" t="str">
        <f t="shared" si="1"/>
        <v>Couriers / Freight</v>
      </c>
      <c r="Y41" s="47"/>
      <c r="Z41" s="27"/>
      <c r="AA41" s="27"/>
      <c r="AB41" s="27"/>
      <c r="AC41" s="27"/>
      <c r="AD41" s="27"/>
      <c r="AE41" s="27"/>
      <c r="AF41" s="27"/>
      <c r="AG41" s="27"/>
      <c r="AH41" s="27"/>
      <c r="AI41" s="27"/>
      <c r="AJ41" s="27"/>
      <c r="AK41" s="27"/>
      <c r="AL41" s="27"/>
      <c r="AM41" s="27"/>
      <c r="AN41" s="27"/>
      <c r="AO41" s="27"/>
      <c r="AP41" s="27"/>
      <c r="AQ41" s="27"/>
      <c r="AR41" s="27"/>
      <c r="AS41" s="27"/>
      <c r="AT41" s="27"/>
    </row>
    <row r="42" spans="1:46" s="41" customFormat="1" ht="15.75" customHeight="1" thickTop="1" thickBot="1">
      <c r="A42" s="40"/>
      <c r="B42" s="18"/>
      <c r="C42" s="52"/>
      <c r="D42" s="81"/>
      <c r="E42" s="205"/>
      <c r="F42" s="237"/>
      <c r="G42" s="237"/>
      <c r="H42" s="206"/>
      <c r="I42" s="132"/>
      <c r="J42" s="53"/>
      <c r="K42" s="54" t="b">
        <v>0</v>
      </c>
      <c r="L42" s="207" t="str">
        <f t="shared" si="2"/>
        <v/>
      </c>
      <c r="M42" s="208"/>
      <c r="N42" s="55">
        <f t="array" ref="N42">IF(OR(L42=L$41:M41),0,SUMIF(L42:M$47,L42,J42:J$47))</f>
        <v>0</v>
      </c>
      <c r="O42" s="40"/>
      <c r="P42" s="27"/>
      <c r="Q42" s="8">
        <v>169213</v>
      </c>
      <c r="R42" s="9" t="s">
        <v>129</v>
      </c>
      <c r="S42" s="67" t="s">
        <v>130</v>
      </c>
      <c r="T42" s="8">
        <v>169213</v>
      </c>
      <c r="U42" s="5"/>
      <c r="V42" s="8"/>
      <c r="W42" t="s">
        <v>131</v>
      </c>
      <c r="X42" s="1" t="str">
        <f t="shared" si="1"/>
        <v>Course Material</v>
      </c>
      <c r="Y42" s="47"/>
      <c r="Z42" s="27"/>
    </row>
    <row r="43" spans="1:46" s="41" customFormat="1" ht="15.75" customHeight="1" thickTop="1" thickBot="1">
      <c r="A43" s="40"/>
      <c r="B43" s="18"/>
      <c r="C43" s="52"/>
      <c r="D43" s="81"/>
      <c r="E43" s="205"/>
      <c r="F43" s="237"/>
      <c r="G43" s="237"/>
      <c r="H43" s="206"/>
      <c r="I43" s="132"/>
      <c r="J43" s="53"/>
      <c r="K43" s="54" t="b">
        <v>0</v>
      </c>
      <c r="L43" s="207" t="str">
        <f t="shared" si="2"/>
        <v/>
      </c>
      <c r="M43" s="208"/>
      <c r="N43" s="55">
        <f t="array" ref="N43">IF(OR(L43=L$41:M42),0,SUMIF(L43:M$47,L43,J43:J$47))</f>
        <v>0</v>
      </c>
      <c r="O43" s="40"/>
      <c r="Q43" s="1"/>
      <c r="R43" s="7" t="s">
        <v>132</v>
      </c>
      <c r="S43" s="1"/>
      <c r="T43" s="1"/>
      <c r="U43" s="5"/>
      <c r="V43" s="8"/>
      <c r="W43" t="s">
        <v>133</v>
      </c>
      <c r="X43" s="1" t="str">
        <f t="shared" si="1"/>
        <v>Electrical Supplies</v>
      </c>
      <c r="Y43" s="56"/>
    </row>
    <row r="44" spans="1:46" s="41" customFormat="1" ht="15.75" customHeight="1" thickTop="1" thickBot="1">
      <c r="A44" s="40"/>
      <c r="B44" s="18"/>
      <c r="C44" s="52"/>
      <c r="D44" s="81"/>
      <c r="E44" s="205"/>
      <c r="F44" s="237"/>
      <c r="G44" s="237"/>
      <c r="H44" s="206"/>
      <c r="I44" s="132"/>
      <c r="J44" s="53"/>
      <c r="K44" s="54" t="b">
        <v>0</v>
      </c>
      <c r="L44" s="207" t="str">
        <f t="shared" si="2"/>
        <v/>
      </c>
      <c r="M44" s="208"/>
      <c r="N44" s="55">
        <f t="array" ref="N44">IF(OR(L44=L$41:M43),0,SUMIF(L44:M$47,L44,J44:J$47))</f>
        <v>0</v>
      </c>
      <c r="O44" s="40"/>
      <c r="Q44" s="8">
        <v>162125</v>
      </c>
      <c r="R44" s="9" t="s">
        <v>134</v>
      </c>
      <c r="S44" t="s">
        <v>88</v>
      </c>
      <c r="T44" s="8">
        <v>162125</v>
      </c>
      <c r="U44" s="1"/>
      <c r="V44" s="8"/>
      <c r="W44" t="s">
        <v>135</v>
      </c>
      <c r="X44" s="1" t="str">
        <f t="shared" si="1"/>
        <v>Furniture Purchase</v>
      </c>
      <c r="Y44" s="56"/>
    </row>
    <row r="45" spans="1:46" s="41" customFormat="1" ht="15.75" customHeight="1" thickTop="1" thickBot="1">
      <c r="A45" s="40"/>
      <c r="B45" s="18"/>
      <c r="C45" s="52"/>
      <c r="D45" s="81"/>
      <c r="E45" s="205"/>
      <c r="F45" s="237"/>
      <c r="G45" s="237"/>
      <c r="H45" s="206"/>
      <c r="I45" s="132"/>
      <c r="J45" s="53"/>
      <c r="K45" s="54" t="b">
        <v>0</v>
      </c>
      <c r="L45" s="207" t="str">
        <f t="shared" si="2"/>
        <v/>
      </c>
      <c r="M45" s="208"/>
      <c r="N45" s="55">
        <f t="array" ref="N45">IF(OR(L45=L$41:M44),0,SUMIF(L45:M$47,L45,J45:J$47))</f>
        <v>0</v>
      </c>
      <c r="O45" s="40"/>
      <c r="Q45" s="8">
        <v>162134</v>
      </c>
      <c r="R45" s="9" t="s">
        <v>136</v>
      </c>
      <c r="S45" s="9" t="s">
        <v>136</v>
      </c>
      <c r="T45" s="8">
        <v>162134</v>
      </c>
      <c r="U45" s="1"/>
      <c r="V45" s="8"/>
      <c r="W45" t="s">
        <v>137</v>
      </c>
      <c r="X45" s="1" t="str">
        <f t="shared" si="1"/>
        <v>Glassware</v>
      </c>
      <c r="Y45" s="56"/>
    </row>
    <row r="46" spans="1:46" s="41" customFormat="1" ht="15.75" customHeight="1" thickTop="1" thickBot="1">
      <c r="A46" s="40"/>
      <c r="B46" s="18"/>
      <c r="C46" s="52"/>
      <c r="D46" s="81"/>
      <c r="E46" s="205"/>
      <c r="F46" s="237"/>
      <c r="G46" s="237"/>
      <c r="H46" s="206"/>
      <c r="I46" s="132"/>
      <c r="J46" s="53"/>
      <c r="K46" s="54" t="b">
        <v>0</v>
      </c>
      <c r="L46" s="207" t="str">
        <f t="shared" si="2"/>
        <v/>
      </c>
      <c r="M46" s="208"/>
      <c r="N46" s="55">
        <f t="array" ref="N46">IF(OR(L46=L$41:M45),0,SUMIF(L46:M$47,L46,J46:J$47))</f>
        <v>0</v>
      </c>
      <c r="O46" s="40"/>
      <c r="Q46" s="1"/>
      <c r="R46" s="7" t="s">
        <v>138</v>
      </c>
      <c r="S46" s="1"/>
      <c r="T46" s="1"/>
      <c r="U46" s="15"/>
      <c r="V46" s="8"/>
      <c r="W46" t="s">
        <v>139</v>
      </c>
      <c r="X46" s="1" t="str">
        <f t="shared" si="1"/>
        <v>Hand / Power Tools</v>
      </c>
      <c r="Y46" s="56"/>
      <c r="AA46" s="56"/>
    </row>
    <row r="47" spans="1:46" s="41" customFormat="1" ht="15.75" customHeight="1" thickTop="1" thickBot="1">
      <c r="A47" s="40"/>
      <c r="B47" s="18"/>
      <c r="C47" s="52"/>
      <c r="D47" s="81"/>
      <c r="E47" s="205"/>
      <c r="F47" s="237"/>
      <c r="G47" s="237"/>
      <c r="H47" s="206"/>
      <c r="I47" s="132"/>
      <c r="J47" s="53"/>
      <c r="K47" s="54" t="b">
        <v>0</v>
      </c>
      <c r="L47" s="207" t="str">
        <f t="shared" si="2"/>
        <v/>
      </c>
      <c r="M47" s="208"/>
      <c r="N47" s="55">
        <f t="array" ref="N47">IF(OR(L47=L$41:M46),0,SUMIF(L47:M$47,L47,J47:J$47))</f>
        <v>0</v>
      </c>
      <c r="O47" s="40"/>
      <c r="Q47" s="8">
        <v>165204</v>
      </c>
      <c r="R47" s="9" t="s">
        <v>108</v>
      </c>
      <c r="S47" t="s">
        <v>108</v>
      </c>
      <c r="T47" s="8">
        <v>165204</v>
      </c>
      <c r="U47" s="1"/>
      <c r="V47" s="8"/>
      <c r="W47" t="s">
        <v>140</v>
      </c>
      <c r="X47" s="1" t="str">
        <f t="shared" si="1"/>
        <v>Hardship</v>
      </c>
      <c r="Y47" s="56"/>
      <c r="Z47" s="56"/>
      <c r="AA47" s="56"/>
    </row>
    <row r="48" spans="1:46" ht="15.75" customHeight="1" thickTop="1">
      <c r="B48" s="82"/>
      <c r="C48" s="238" t="s">
        <v>141</v>
      </c>
      <c r="D48" s="239"/>
      <c r="E48" s="239"/>
      <c r="F48" s="239"/>
      <c r="G48" s="239"/>
      <c r="H48" s="239"/>
      <c r="I48" s="239"/>
      <c r="J48" s="133">
        <f>SUM(J41:J47)</f>
        <v>0</v>
      </c>
      <c r="K48" s="78"/>
      <c r="L48" s="79"/>
      <c r="M48" s="79"/>
      <c r="N48" s="83">
        <f ca="1">SUM(N41:N47)</f>
        <v>0</v>
      </c>
      <c r="P48" s="41"/>
      <c r="Q48" s="8">
        <v>165207</v>
      </c>
      <c r="R48" s="9" t="s">
        <v>142</v>
      </c>
      <c r="S48" t="s">
        <v>143</v>
      </c>
      <c r="T48" s="8">
        <v>165207</v>
      </c>
      <c r="V48" s="8"/>
      <c r="W48" s="9" t="s">
        <v>136</v>
      </c>
      <c r="X48" s="1" t="str">
        <f t="shared" si="1"/>
        <v>Health Screening</v>
      </c>
      <c r="Y48" s="56"/>
      <c r="Z48" s="56"/>
      <c r="AA48" s="56"/>
      <c r="AB48" s="41"/>
      <c r="AC48" s="41"/>
      <c r="AD48" s="41"/>
      <c r="AE48" s="41"/>
      <c r="AF48" s="41"/>
      <c r="AG48" s="41"/>
      <c r="AH48" s="41"/>
      <c r="AI48" s="41"/>
      <c r="AJ48" s="41"/>
      <c r="AK48" s="41"/>
      <c r="AL48" s="41"/>
      <c r="AM48" s="41"/>
      <c r="AN48" s="41"/>
      <c r="AO48" s="41"/>
      <c r="AP48" s="41"/>
      <c r="AQ48" s="41"/>
      <c r="AR48" s="41"/>
      <c r="AS48" s="41"/>
      <c r="AT48" s="41"/>
    </row>
    <row r="49" spans="1:46" ht="25.5" customHeight="1">
      <c r="A49" s="57"/>
      <c r="B49" s="48"/>
      <c r="C49" s="63" t="s">
        <v>63</v>
      </c>
      <c r="D49" s="138" t="s">
        <v>64</v>
      </c>
      <c r="E49" s="220"/>
      <c r="F49" s="221"/>
      <c r="G49" s="222" t="s">
        <v>65</v>
      </c>
      <c r="H49" s="223"/>
      <c r="I49" s="223"/>
      <c r="J49" s="220"/>
      <c r="K49" s="221"/>
      <c r="L49" s="64"/>
      <c r="M49" s="64"/>
      <c r="N49" s="64"/>
      <c r="O49" s="57"/>
      <c r="Q49" s="8">
        <v>165222</v>
      </c>
      <c r="R49" s="9" t="s">
        <v>84</v>
      </c>
      <c r="S49" t="s">
        <v>84</v>
      </c>
      <c r="T49" s="8">
        <v>165222</v>
      </c>
      <c r="V49" s="8"/>
      <c r="W49" t="s">
        <v>144</v>
      </c>
      <c r="X49" s="1" t="str">
        <f t="shared" si="1"/>
        <v>Laundry</v>
      </c>
      <c r="Y49" s="47"/>
    </row>
    <row r="50" spans="1:46" ht="12" customHeight="1">
      <c r="B50" s="84"/>
      <c r="C50" s="85"/>
      <c r="D50" s="243"/>
      <c r="E50" s="244"/>
      <c r="F50" s="244"/>
      <c r="G50" s="244"/>
      <c r="H50" s="244"/>
      <c r="I50" s="244"/>
      <c r="J50" s="86"/>
      <c r="K50" s="87"/>
      <c r="L50" s="87"/>
      <c r="M50" s="87"/>
      <c r="N50" s="88"/>
      <c r="R50" s="7" t="s">
        <v>145</v>
      </c>
      <c r="V50" s="8"/>
      <c r="W50" t="s">
        <v>146</v>
      </c>
      <c r="X50" s="1" t="str">
        <f t="shared" si="1"/>
        <v>Library Music</v>
      </c>
      <c r="Y50" s="47"/>
      <c r="Z50" s="47"/>
      <c r="AA50" s="47"/>
      <c r="AE50" s="41"/>
      <c r="AF50" s="41"/>
      <c r="AG50" s="41"/>
      <c r="AH50" s="41"/>
      <c r="AI50" s="41"/>
      <c r="AJ50" s="41"/>
      <c r="AK50" s="41"/>
      <c r="AL50" s="41"/>
      <c r="AM50" s="41"/>
      <c r="AN50" s="41"/>
      <c r="AO50" s="41"/>
      <c r="AP50" s="41"/>
      <c r="AQ50" s="41"/>
      <c r="AR50" s="41"/>
      <c r="AS50" s="41"/>
      <c r="AT50" s="41"/>
    </row>
    <row r="51" spans="1:46" ht="17.25" customHeight="1">
      <c r="B51" s="245" t="s">
        <v>147</v>
      </c>
      <c r="C51" s="246"/>
      <c r="D51" s="246"/>
      <c r="E51" s="246"/>
      <c r="F51" s="246"/>
      <c r="G51" s="246"/>
      <c r="H51" s="246"/>
      <c r="I51" s="247"/>
      <c r="J51" s="89">
        <f>+J48+J36+J27+J19</f>
        <v>217.54</v>
      </c>
      <c r="K51" s="90"/>
      <c r="L51" s="90"/>
      <c r="M51" s="90"/>
      <c r="N51" s="91">
        <f ca="1">+N48+N36+N27+N19</f>
        <v>217.54</v>
      </c>
      <c r="P51" s="41"/>
      <c r="Q51" s="8">
        <v>164104</v>
      </c>
      <c r="R51" s="9" t="s">
        <v>148</v>
      </c>
      <c r="S51" t="s">
        <v>85</v>
      </c>
      <c r="T51" s="8">
        <v>164104</v>
      </c>
      <c r="V51" s="8"/>
      <c r="W51" t="s">
        <v>149</v>
      </c>
      <c r="X51" s="1" t="str">
        <f t="shared" si="1"/>
        <v>Library Periodicals</v>
      </c>
      <c r="Y51" s="47"/>
      <c r="Z51" s="47"/>
      <c r="AA51" s="92"/>
      <c r="AB51" s="41"/>
      <c r="AC51" s="41"/>
    </row>
    <row r="52" spans="1:46" ht="17.25" customHeight="1" thickBot="1">
      <c r="B52" s="248" t="s">
        <v>150</v>
      </c>
      <c r="C52" s="249"/>
      <c r="D52" s="249"/>
      <c r="E52" s="93"/>
      <c r="F52" s="93"/>
      <c r="G52" s="93"/>
      <c r="H52" s="93"/>
      <c r="I52" s="94"/>
      <c r="J52" s="95"/>
      <c r="K52" s="90"/>
      <c r="L52" s="90"/>
      <c r="M52" s="90"/>
      <c r="N52" s="96">
        <f>J52</f>
        <v>0</v>
      </c>
      <c r="Q52" s="8">
        <v>164110</v>
      </c>
      <c r="R52" s="9" t="s">
        <v>151</v>
      </c>
      <c r="S52" t="s">
        <v>137</v>
      </c>
      <c r="T52" s="8">
        <v>164110</v>
      </c>
      <c r="V52" s="8"/>
      <c r="W52" t="s">
        <v>152</v>
      </c>
      <c r="X52" s="1" t="str">
        <f t="shared" si="1"/>
        <v>Patents/Royalties</v>
      </c>
      <c r="Y52" s="92"/>
      <c r="Z52" s="92"/>
      <c r="AD52" s="41"/>
    </row>
    <row r="53" spans="1:46" ht="17.25" customHeight="1" thickTop="1">
      <c r="B53" s="250" t="s">
        <v>153</v>
      </c>
      <c r="C53" s="251"/>
      <c r="D53" s="251"/>
      <c r="E53" s="251"/>
      <c r="F53" s="251"/>
      <c r="G53" s="251"/>
      <c r="H53" s="251"/>
      <c r="I53" s="252"/>
      <c r="J53" s="97">
        <f>+J51-J52</f>
        <v>217.54</v>
      </c>
      <c r="K53" s="90"/>
      <c r="L53" s="90"/>
      <c r="M53" s="90"/>
      <c r="N53" s="98">
        <f ca="1">+N51-N52</f>
        <v>217.54</v>
      </c>
      <c r="Q53" s="8">
        <v>164119</v>
      </c>
      <c r="R53" s="9" t="s">
        <v>154</v>
      </c>
      <c r="S53" t="s">
        <v>133</v>
      </c>
      <c r="T53" s="8">
        <v>164119</v>
      </c>
      <c r="V53" s="8"/>
      <c r="W53" t="s">
        <v>155</v>
      </c>
      <c r="X53" s="1" t="str">
        <f t="shared" si="1"/>
        <v>Photocopying</v>
      </c>
    </row>
    <row r="54" spans="1:46" ht="13.5" customHeight="1">
      <c r="B54" s="253"/>
      <c r="C54" s="253"/>
      <c r="D54" s="99"/>
      <c r="E54" s="99"/>
      <c r="F54" s="99"/>
      <c r="G54" s="100"/>
      <c r="H54" s="100"/>
      <c r="I54" s="100"/>
      <c r="J54" s="100"/>
      <c r="K54" s="100"/>
      <c r="L54" s="100"/>
      <c r="M54" s="100"/>
      <c r="N54" s="100"/>
      <c r="Q54" s="8">
        <v>164125</v>
      </c>
      <c r="R54" s="9" t="s">
        <v>139</v>
      </c>
      <c r="S54" t="s">
        <v>139</v>
      </c>
      <c r="T54" s="8">
        <v>164125</v>
      </c>
      <c r="V54" s="8"/>
      <c r="W54" t="s">
        <v>156</v>
      </c>
      <c r="X54" s="1" t="str">
        <f t="shared" si="1"/>
        <v>Photography</v>
      </c>
    </row>
    <row r="55" spans="1:46" ht="15.75">
      <c r="B55" s="101" t="s">
        <v>157</v>
      </c>
      <c r="C55" s="102"/>
      <c r="D55" s="102"/>
      <c r="E55" s="102"/>
      <c r="F55" s="103" t="s">
        <v>158</v>
      </c>
      <c r="G55" s="104"/>
      <c r="H55" s="100"/>
      <c r="I55" s="105" t="s">
        <v>159</v>
      </c>
      <c r="J55" s="106"/>
      <c r="K55" s="106"/>
      <c r="L55" s="106"/>
      <c r="M55" s="106"/>
      <c r="N55" s="107" t="s">
        <v>160</v>
      </c>
      <c r="O55" s="104"/>
      <c r="Q55" s="8">
        <v>164128</v>
      </c>
      <c r="R55" s="9" t="s">
        <v>161</v>
      </c>
      <c r="S55" t="s">
        <v>161</v>
      </c>
      <c r="T55" s="8">
        <v>164128</v>
      </c>
      <c r="V55" s="8"/>
      <c r="W55" t="s">
        <v>162</v>
      </c>
      <c r="X55" s="1" t="str">
        <f t="shared" si="1"/>
        <v>Postages</v>
      </c>
    </row>
    <row r="56" spans="1:46" ht="24" customHeight="1">
      <c r="B56" s="254" t="s">
        <v>163</v>
      </c>
      <c r="C56" s="255"/>
      <c r="D56" s="255"/>
      <c r="E56" s="255"/>
      <c r="F56" s="256"/>
      <c r="G56" s="100"/>
      <c r="H56" s="100"/>
      <c r="I56" s="257" t="s">
        <v>164</v>
      </c>
      <c r="J56" s="258"/>
      <c r="K56" s="258"/>
      <c r="L56" s="258"/>
      <c r="M56" s="258"/>
      <c r="N56" s="259"/>
      <c r="Q56" s="8"/>
      <c r="R56" s="9"/>
      <c r="T56" s="8"/>
      <c r="V56" s="8"/>
      <c r="W56" t="s">
        <v>165</v>
      </c>
      <c r="X56" s="1" t="str">
        <f t="shared" si="1"/>
        <v>Printing</v>
      </c>
    </row>
    <row r="57" spans="1:46" ht="12.75" customHeight="1">
      <c r="B57" s="268" t="s">
        <v>166</v>
      </c>
      <c r="C57" s="269"/>
      <c r="D57" s="269"/>
      <c r="E57" s="269"/>
      <c r="F57" s="270"/>
      <c r="G57" s="100"/>
      <c r="H57" s="100"/>
      <c r="I57" s="271" t="s">
        <v>167</v>
      </c>
      <c r="J57" s="272"/>
      <c r="K57" s="272"/>
      <c r="L57" s="272"/>
      <c r="M57" s="272"/>
      <c r="N57" s="273"/>
      <c r="R57" s="7" t="s">
        <v>168</v>
      </c>
      <c r="V57" s="8"/>
      <c r="W57" t="s">
        <v>169</v>
      </c>
      <c r="X57" s="1" t="str">
        <f t="shared" si="1"/>
        <v>Publication Production</v>
      </c>
    </row>
    <row r="58" spans="1:46" ht="12.75" customHeight="1">
      <c r="B58" s="268" t="s">
        <v>170</v>
      </c>
      <c r="C58" s="269"/>
      <c r="D58" s="269"/>
      <c r="E58" s="269"/>
      <c r="F58" s="270"/>
      <c r="G58" s="104"/>
      <c r="H58" s="100"/>
      <c r="I58" s="271" t="s">
        <v>171</v>
      </c>
      <c r="J58" s="274"/>
      <c r="K58" s="274"/>
      <c r="L58" s="274"/>
      <c r="M58" s="274"/>
      <c r="N58" s="275"/>
      <c r="Q58" s="8">
        <v>165107</v>
      </c>
      <c r="R58" s="9" t="s">
        <v>172</v>
      </c>
      <c r="S58" t="s">
        <v>75</v>
      </c>
      <c r="T58" s="8">
        <v>165107</v>
      </c>
      <c r="V58" s="8"/>
      <c r="W58" t="s">
        <v>173</v>
      </c>
      <c r="X58" s="1" t="str">
        <f t="shared" si="1"/>
        <v>Safety Training</v>
      </c>
    </row>
    <row r="59" spans="1:46" ht="12.75" customHeight="1">
      <c r="B59" s="268" t="s">
        <v>174</v>
      </c>
      <c r="C59" s="269"/>
      <c r="D59" s="269"/>
      <c r="E59" s="269"/>
      <c r="F59" s="270"/>
      <c r="G59" s="100"/>
      <c r="H59" s="100"/>
      <c r="I59" s="108" t="s">
        <v>175</v>
      </c>
      <c r="J59" s="109"/>
      <c r="K59" s="109"/>
      <c r="L59" s="109"/>
      <c r="M59" s="109"/>
      <c r="N59" s="110"/>
      <c r="Q59" s="8">
        <v>165119</v>
      </c>
      <c r="R59" s="10" t="s">
        <v>176</v>
      </c>
      <c r="S59" t="s">
        <v>113</v>
      </c>
      <c r="T59" s="8">
        <v>165119</v>
      </c>
      <c r="V59" s="8"/>
      <c r="W59" t="s">
        <v>177</v>
      </c>
      <c r="X59" s="1" t="str">
        <f t="shared" si="1"/>
        <v xml:space="preserve">Security Contracts </v>
      </c>
    </row>
    <row r="60" spans="1:46" ht="22.5" customHeight="1">
      <c r="B60" s="268" t="s">
        <v>178</v>
      </c>
      <c r="C60" s="269"/>
      <c r="D60" s="269"/>
      <c r="E60" s="269"/>
      <c r="F60" s="270"/>
      <c r="G60" s="100"/>
      <c r="H60" s="100"/>
      <c r="I60" s="257" t="s">
        <v>179</v>
      </c>
      <c r="J60" s="260"/>
      <c r="K60" s="260"/>
      <c r="L60" s="260"/>
      <c r="M60" s="260"/>
      <c r="N60" s="261"/>
      <c r="Q60" s="8">
        <v>165125</v>
      </c>
      <c r="R60" s="10" t="s">
        <v>180</v>
      </c>
      <c r="S60" t="s">
        <v>125</v>
      </c>
      <c r="T60" s="8">
        <v>165125</v>
      </c>
      <c r="V60" s="8"/>
      <c r="W60" t="s">
        <v>181</v>
      </c>
      <c r="X60" s="1" t="str">
        <f t="shared" si="1"/>
        <v>Security Expenses</v>
      </c>
    </row>
    <row r="61" spans="1:46" ht="23.25" customHeight="1">
      <c r="B61" s="111" t="s">
        <v>182</v>
      </c>
      <c r="C61" s="137"/>
      <c r="D61" s="137"/>
      <c r="E61" s="112" t="s">
        <v>183</v>
      </c>
      <c r="F61" s="113"/>
      <c r="G61" s="100"/>
      <c r="H61" s="100"/>
      <c r="I61" s="257" t="s">
        <v>184</v>
      </c>
      <c r="J61" s="260"/>
      <c r="K61" s="260"/>
      <c r="L61" s="260"/>
      <c r="M61" s="260"/>
      <c r="N61" s="261"/>
      <c r="R61" s="7" t="s">
        <v>185</v>
      </c>
      <c r="V61" s="8"/>
      <c r="W61" t="s">
        <v>143</v>
      </c>
      <c r="X61" s="1" t="str">
        <f t="shared" si="1"/>
        <v>Software Licences</v>
      </c>
    </row>
    <row r="62" spans="1:46" ht="24.75" customHeight="1">
      <c r="B62" s="114" t="s">
        <v>186</v>
      </c>
      <c r="C62" s="115"/>
      <c r="D62" s="262"/>
      <c r="E62" s="262"/>
      <c r="F62" s="263"/>
      <c r="G62" s="100"/>
      <c r="H62" s="100"/>
      <c r="I62" s="111" t="s">
        <v>187</v>
      </c>
      <c r="J62" s="137"/>
      <c r="K62" s="137"/>
      <c r="L62" s="137"/>
      <c r="M62" s="137" t="s">
        <v>183</v>
      </c>
      <c r="N62" s="116"/>
      <c r="Q62" s="8">
        <v>163104</v>
      </c>
      <c r="R62" s="9" t="s">
        <v>188</v>
      </c>
      <c r="S62" s="9" t="s">
        <v>188</v>
      </c>
      <c r="T62" s="8">
        <v>163104</v>
      </c>
      <c r="V62" s="8"/>
      <c r="W62" s="9" t="s">
        <v>188</v>
      </c>
      <c r="X62" s="1" t="str">
        <f t="shared" si="1"/>
        <v>Stationery</v>
      </c>
    </row>
    <row r="63" spans="1:46" ht="24.75" customHeight="1">
      <c r="B63" s="117" t="s">
        <v>189</v>
      </c>
      <c r="C63" s="117"/>
      <c r="D63" s="118"/>
      <c r="E63" s="118"/>
      <c r="F63" s="119"/>
      <c r="G63" s="100"/>
      <c r="H63" s="100"/>
      <c r="I63" s="111" t="s">
        <v>186</v>
      </c>
      <c r="J63" s="264"/>
      <c r="K63" s="264"/>
      <c r="L63" s="264"/>
      <c r="M63" s="264"/>
      <c r="N63" s="265"/>
      <c r="Q63" s="8">
        <v>163107</v>
      </c>
      <c r="R63" s="9" t="s">
        <v>155</v>
      </c>
      <c r="S63" t="s">
        <v>155</v>
      </c>
      <c r="T63" s="8">
        <v>163107</v>
      </c>
      <c r="V63" s="8"/>
      <c r="W63" t="s">
        <v>190</v>
      </c>
      <c r="X63" s="1" t="str">
        <f t="shared" si="1"/>
        <v>Telephone Calls/Rent</v>
      </c>
    </row>
    <row r="64" spans="1:46" ht="17.25" customHeight="1">
      <c r="B64" s="120"/>
      <c r="C64" s="118"/>
      <c r="D64" s="118"/>
      <c r="E64" s="118"/>
      <c r="F64" s="119"/>
      <c r="G64" s="100"/>
      <c r="H64" s="100"/>
      <c r="I64" s="121"/>
      <c r="J64" s="122"/>
      <c r="K64" s="122"/>
      <c r="L64" s="122"/>
      <c r="M64" s="122"/>
      <c r="N64" s="122"/>
      <c r="O64" s="57"/>
      <c r="Q64" s="8">
        <v>163110</v>
      </c>
      <c r="R64" s="9" t="s">
        <v>191</v>
      </c>
      <c r="S64" t="s">
        <v>116</v>
      </c>
      <c r="T64" s="8">
        <v>163110</v>
      </c>
      <c r="V64" s="8"/>
      <c r="W64" t="s">
        <v>192</v>
      </c>
      <c r="X64" s="1" t="str">
        <f t="shared" si="1"/>
        <v>Vehicle Expenses</v>
      </c>
    </row>
    <row r="65" spans="2:24" ht="19.5" customHeight="1">
      <c r="B65" s="120"/>
      <c r="C65" s="118"/>
      <c r="D65" s="118"/>
      <c r="E65" s="118"/>
      <c r="F65" s="119"/>
      <c r="G65" s="100"/>
      <c r="H65" s="100"/>
      <c r="I65" s="105"/>
      <c r="J65" s="123"/>
      <c r="K65" s="123"/>
      <c r="L65" s="123"/>
      <c r="M65" s="123"/>
      <c r="N65" s="107" t="s">
        <v>193</v>
      </c>
      <c r="Q65" s="8">
        <v>163113</v>
      </c>
      <c r="R65" s="9" t="s">
        <v>156</v>
      </c>
      <c r="S65" t="s">
        <v>156</v>
      </c>
      <c r="T65" s="8">
        <v>163113</v>
      </c>
      <c r="V65" s="8"/>
      <c r="W65" t="s">
        <v>161</v>
      </c>
      <c r="X65" s="1" t="str">
        <f t="shared" si="1"/>
        <v>Workshop Materials</v>
      </c>
    </row>
    <row r="66" spans="2:24" ht="30.75" customHeight="1">
      <c r="B66" s="120"/>
      <c r="C66" s="118"/>
      <c r="D66" s="118"/>
      <c r="E66" s="118"/>
      <c r="F66" s="119"/>
      <c r="G66" s="100"/>
      <c r="H66" s="100"/>
      <c r="I66" s="266" t="s">
        <v>182</v>
      </c>
      <c r="J66" s="267"/>
      <c r="K66" s="267"/>
      <c r="L66" s="267"/>
      <c r="M66" s="136" t="s">
        <v>183</v>
      </c>
      <c r="N66" s="116"/>
      <c r="Q66" s="8">
        <v>163116</v>
      </c>
      <c r="R66" s="9" t="s">
        <v>165</v>
      </c>
      <c r="S66" t="s">
        <v>165</v>
      </c>
      <c r="T66" s="8">
        <v>163116</v>
      </c>
      <c r="V66" s="8"/>
      <c r="W66" s="11"/>
    </row>
    <row r="67" spans="2:24" ht="26.25" customHeight="1">
      <c r="B67" s="124"/>
      <c r="C67" s="125"/>
      <c r="D67" s="125"/>
      <c r="E67" s="125"/>
      <c r="F67" s="126"/>
      <c r="G67" s="100"/>
      <c r="H67" s="100"/>
      <c r="I67" s="111" t="s">
        <v>186</v>
      </c>
      <c r="J67" s="264"/>
      <c r="K67" s="264"/>
      <c r="L67" s="264"/>
      <c r="M67" s="264"/>
      <c r="N67" s="265"/>
      <c r="Q67" s="8">
        <v>163119</v>
      </c>
      <c r="R67" s="9" t="s">
        <v>94</v>
      </c>
      <c r="S67" t="s">
        <v>94</v>
      </c>
      <c r="T67" s="8">
        <v>163119</v>
      </c>
      <c r="V67" s="8"/>
      <c r="W67" s="9"/>
    </row>
    <row r="68" spans="2:24" ht="15" customHeight="1">
      <c r="Q68" s="8">
        <v>163122</v>
      </c>
      <c r="R68" s="9" t="s">
        <v>194</v>
      </c>
      <c r="S68" t="s">
        <v>131</v>
      </c>
      <c r="T68" s="8">
        <v>163122</v>
      </c>
      <c r="V68" s="8"/>
      <c r="W68" s="9"/>
    </row>
    <row r="69" spans="2:24" ht="15.75">
      <c r="R69" s="7" t="s">
        <v>195</v>
      </c>
      <c r="V69" s="8"/>
      <c r="W69" s="9"/>
    </row>
    <row r="70" spans="2:24" ht="15.75">
      <c r="Q70" s="8">
        <v>163204</v>
      </c>
      <c r="R70" s="9" t="s">
        <v>162</v>
      </c>
      <c r="S70" t="s">
        <v>162</v>
      </c>
      <c r="T70" s="8">
        <v>163204</v>
      </c>
      <c r="V70" s="8"/>
      <c r="W70" s="9"/>
    </row>
    <row r="71" spans="2:24" ht="15.75">
      <c r="Q71" s="8">
        <v>163207</v>
      </c>
      <c r="R71" s="9" t="s">
        <v>196</v>
      </c>
      <c r="S71" t="s">
        <v>128</v>
      </c>
      <c r="T71" s="8">
        <v>163207</v>
      </c>
      <c r="V71" s="8"/>
      <c r="W71" s="9"/>
    </row>
    <row r="72" spans="2:24" ht="15.75">
      <c r="Q72" s="8">
        <v>163210</v>
      </c>
      <c r="R72" s="11" t="s">
        <v>190</v>
      </c>
      <c r="S72" t="s">
        <v>190</v>
      </c>
      <c r="T72" s="8">
        <v>163210</v>
      </c>
      <c r="V72" s="8"/>
      <c r="W72" s="9"/>
    </row>
    <row r="73" spans="2:24" ht="15.75">
      <c r="Q73" s="8">
        <v>163213</v>
      </c>
      <c r="R73" s="11" t="s">
        <v>197</v>
      </c>
      <c r="S73" t="s">
        <v>91</v>
      </c>
      <c r="T73" s="8">
        <v>163213</v>
      </c>
      <c r="V73" s="8"/>
      <c r="W73" s="10"/>
    </row>
    <row r="74" spans="2:24" ht="15.75">
      <c r="R74" s="7" t="s">
        <v>198</v>
      </c>
      <c r="V74" s="8"/>
      <c r="W74" s="10"/>
    </row>
    <row r="75" spans="2:24" ht="15.75">
      <c r="Q75" s="8">
        <v>169410</v>
      </c>
      <c r="R75" s="9" t="s">
        <v>96</v>
      </c>
      <c r="S75" t="s">
        <v>96</v>
      </c>
      <c r="T75" s="8">
        <v>169410</v>
      </c>
      <c r="V75" s="8"/>
      <c r="W75" s="9"/>
    </row>
    <row r="76" spans="2:24" ht="15.75">
      <c r="Q76" s="8">
        <v>169416</v>
      </c>
      <c r="R76" s="9" t="s">
        <v>199</v>
      </c>
      <c r="S76" t="s">
        <v>81</v>
      </c>
      <c r="T76" s="8">
        <v>169416</v>
      </c>
      <c r="V76" s="8"/>
      <c r="W76" s="9"/>
    </row>
    <row r="77" spans="2:24" ht="15.75">
      <c r="Q77" s="13"/>
      <c r="R77" s="12" t="s">
        <v>200</v>
      </c>
      <c r="T77" s="13"/>
      <c r="V77" s="8"/>
      <c r="W77" s="9"/>
    </row>
    <row r="78" spans="2:24" ht="15.75">
      <c r="Q78" s="8">
        <v>165407</v>
      </c>
      <c r="R78" s="9" t="s">
        <v>192</v>
      </c>
      <c r="S78" t="s">
        <v>192</v>
      </c>
      <c r="T78" s="8">
        <v>165407</v>
      </c>
      <c r="V78" s="8"/>
      <c r="W78" s="9"/>
    </row>
    <row r="79" spans="2:24" ht="15.75">
      <c r="R79" s="7" t="s">
        <v>201</v>
      </c>
      <c r="V79" s="8"/>
      <c r="W79" s="9"/>
    </row>
    <row r="80" spans="2:24" ht="15.75">
      <c r="Q80" s="8">
        <v>167604</v>
      </c>
      <c r="R80" s="9" t="s">
        <v>119</v>
      </c>
      <c r="S80" t="s">
        <v>119</v>
      </c>
      <c r="T80" s="8">
        <v>167604</v>
      </c>
      <c r="V80" s="8"/>
      <c r="W80" s="9"/>
    </row>
    <row r="81" spans="17:23" ht="15.75">
      <c r="Q81" s="8">
        <v>167610</v>
      </c>
      <c r="R81" s="9" t="s">
        <v>122</v>
      </c>
      <c r="S81" t="s">
        <v>122</v>
      </c>
      <c r="T81" s="8">
        <v>167610</v>
      </c>
      <c r="V81" s="8"/>
      <c r="W81" s="9"/>
    </row>
    <row r="82" spans="17:23" ht="15.75">
      <c r="Q82" s="8">
        <v>167613</v>
      </c>
      <c r="R82" s="9" t="s">
        <v>144</v>
      </c>
      <c r="S82" s="9" t="s">
        <v>144</v>
      </c>
      <c r="T82" s="8">
        <v>167613</v>
      </c>
      <c r="V82" s="8"/>
      <c r="W82" s="9"/>
    </row>
    <row r="83" spans="17:23" ht="15.75">
      <c r="Q83" s="6"/>
      <c r="R83" s="7" t="s">
        <v>202</v>
      </c>
      <c r="T83" s="6"/>
      <c r="V83" s="8"/>
      <c r="W83" s="9"/>
    </row>
    <row r="84" spans="17:23" ht="15.75">
      <c r="Q84" s="8">
        <v>165304</v>
      </c>
      <c r="R84" s="9" t="s">
        <v>135</v>
      </c>
      <c r="S84" s="9" t="s">
        <v>135</v>
      </c>
      <c r="T84" s="8">
        <v>165304</v>
      </c>
      <c r="V84" s="8"/>
      <c r="W84" s="9"/>
    </row>
    <row r="85" spans="17:23" ht="15.75">
      <c r="Q85" s="6"/>
      <c r="R85" s="7" t="s">
        <v>203</v>
      </c>
      <c r="T85" s="6"/>
      <c r="V85" s="8"/>
      <c r="W85" s="9"/>
    </row>
    <row r="86" spans="17:23" ht="15.75">
      <c r="Q86" s="8">
        <v>162304</v>
      </c>
      <c r="R86" s="9" t="s">
        <v>68</v>
      </c>
      <c r="S86" s="9" t="s">
        <v>68</v>
      </c>
      <c r="T86" s="8">
        <v>162304</v>
      </c>
      <c r="V86" s="8"/>
      <c r="W86" s="9"/>
    </row>
    <row r="87" spans="17:23" ht="15.75">
      <c r="Q87" s="8">
        <v>162307</v>
      </c>
      <c r="R87" s="9" t="s">
        <v>204</v>
      </c>
      <c r="S87" s="9" t="s">
        <v>149</v>
      </c>
      <c r="T87" s="8">
        <v>162307</v>
      </c>
      <c r="V87" s="8"/>
      <c r="W87" s="9"/>
    </row>
    <row r="88" spans="17:23" ht="15.75">
      <c r="Q88" s="8">
        <v>162319</v>
      </c>
      <c r="R88" s="9" t="s">
        <v>205</v>
      </c>
      <c r="S88" s="9" t="s">
        <v>146</v>
      </c>
      <c r="T88" s="8">
        <v>162319</v>
      </c>
      <c r="V88" s="6"/>
      <c r="W88" s="9"/>
    </row>
    <row r="89" spans="17:23" ht="15.75">
      <c r="Q89" s="8">
        <v>162322</v>
      </c>
      <c r="R89" s="9" t="s">
        <v>169</v>
      </c>
      <c r="S89" s="9" t="s">
        <v>169</v>
      </c>
      <c r="T89" s="8">
        <v>162322</v>
      </c>
      <c r="V89" s="8"/>
      <c r="W89" s="9"/>
    </row>
    <row r="90" spans="17:23" ht="15.75">
      <c r="Q90" s="6"/>
      <c r="R90" s="7" t="s">
        <v>206</v>
      </c>
      <c r="T90" s="6"/>
      <c r="V90" s="8"/>
      <c r="W90" s="9"/>
    </row>
    <row r="91" spans="17:23" ht="15.75">
      <c r="Q91" s="8">
        <v>162404</v>
      </c>
      <c r="R91" s="9" t="s">
        <v>105</v>
      </c>
      <c r="S91" s="9" t="s">
        <v>105</v>
      </c>
      <c r="T91" s="8">
        <v>162404</v>
      </c>
      <c r="V91" s="8"/>
      <c r="W91" s="9"/>
    </row>
    <row r="92" spans="17:23" ht="15.75">
      <c r="Q92" s="8">
        <v>162407</v>
      </c>
      <c r="R92" s="9" t="s">
        <v>173</v>
      </c>
      <c r="S92" s="9" t="s">
        <v>173</v>
      </c>
      <c r="T92" s="8">
        <v>162407</v>
      </c>
      <c r="V92" s="8"/>
      <c r="W92" s="9"/>
    </row>
    <row r="93" spans="17:23" ht="15.75">
      <c r="Q93" s="6"/>
      <c r="R93" s="7" t="s">
        <v>207</v>
      </c>
      <c r="T93" s="6"/>
      <c r="V93" s="5"/>
      <c r="W93" s="9"/>
    </row>
    <row r="94" spans="17:23" ht="15.75">
      <c r="Q94" s="8">
        <v>167104</v>
      </c>
      <c r="R94" s="9" t="s">
        <v>102</v>
      </c>
      <c r="S94" s="9" t="s">
        <v>102</v>
      </c>
      <c r="T94" s="8">
        <v>167104</v>
      </c>
      <c r="W94" s="9"/>
    </row>
    <row r="95" spans="17:23" ht="15.75">
      <c r="Q95" s="6"/>
      <c r="R95" s="7" t="s">
        <v>208</v>
      </c>
      <c r="T95" s="6"/>
      <c r="W95" s="7"/>
    </row>
    <row r="96" spans="17:23" ht="15.75">
      <c r="Q96" s="8">
        <v>162504</v>
      </c>
      <c r="R96" s="9" t="s">
        <v>181</v>
      </c>
      <c r="S96" s="9" t="s">
        <v>181</v>
      </c>
      <c r="T96" s="8">
        <v>162504</v>
      </c>
      <c r="W96" s="7"/>
    </row>
    <row r="97" spans="17:23" ht="15.75">
      <c r="Q97" s="8">
        <v>162507</v>
      </c>
      <c r="R97" s="10" t="s">
        <v>177</v>
      </c>
      <c r="S97" s="10" t="s">
        <v>177</v>
      </c>
      <c r="T97" s="8">
        <v>162507</v>
      </c>
      <c r="W97" s="7"/>
    </row>
    <row r="98" spans="17:23" ht="15.75">
      <c r="Q98" s="6"/>
      <c r="R98" s="7" t="s">
        <v>209</v>
      </c>
      <c r="T98" s="6"/>
      <c r="W98" s="7"/>
    </row>
    <row r="99" spans="17:23" ht="15.75">
      <c r="Q99" s="8">
        <v>169507</v>
      </c>
      <c r="R99" s="9" t="s">
        <v>210</v>
      </c>
      <c r="S99" s="9" t="s">
        <v>152</v>
      </c>
      <c r="T99" s="8">
        <v>169507</v>
      </c>
      <c r="W99" s="7"/>
    </row>
    <row r="100" spans="17:23" ht="15.75">
      <c r="Q100" s="8">
        <v>169525</v>
      </c>
      <c r="R100" s="9" t="s">
        <v>140</v>
      </c>
      <c r="S100" s="9" t="s">
        <v>140</v>
      </c>
      <c r="T100" s="8">
        <v>169525</v>
      </c>
      <c r="W100" s="7"/>
    </row>
    <row r="101" spans="17:23" ht="15.75">
      <c r="V101" s="13"/>
      <c r="W101" s="7"/>
    </row>
    <row r="102" spans="17:23" ht="15.75">
      <c r="Q102" s="14" t="s">
        <v>211</v>
      </c>
      <c r="W102" s="7"/>
    </row>
    <row r="103" spans="17:23" ht="15.75">
      <c r="Q103" s="12" t="s">
        <v>212</v>
      </c>
      <c r="V103" s="6"/>
      <c r="W103" s="12"/>
    </row>
    <row r="104" spans="17:23" ht="15.75">
      <c r="Q104" s="12" t="s">
        <v>213</v>
      </c>
      <c r="V104" s="6"/>
      <c r="W104" s="7"/>
    </row>
    <row r="105" spans="17:23" ht="15.75">
      <c r="Q105" s="16"/>
      <c r="R105" s="7" t="s">
        <v>145</v>
      </c>
      <c r="V105" s="6"/>
      <c r="W105" s="7"/>
    </row>
    <row r="106" spans="17:23" ht="15.75">
      <c r="Q106" s="8">
        <v>164107</v>
      </c>
      <c r="R106" s="9" t="s">
        <v>214</v>
      </c>
      <c r="V106" s="6"/>
      <c r="W106" s="7"/>
    </row>
    <row r="107" spans="17:23" ht="15.75">
      <c r="Q107" s="8">
        <v>164113</v>
      </c>
      <c r="R107" s="9" t="s">
        <v>215</v>
      </c>
      <c r="V107" s="6"/>
      <c r="W107" s="7"/>
    </row>
    <row r="108" spans="17:23" ht="15.75">
      <c r="Q108" s="8">
        <v>164116</v>
      </c>
      <c r="R108" s="9" t="s">
        <v>216</v>
      </c>
      <c r="V108" s="6"/>
      <c r="W108" s="7"/>
    </row>
    <row r="109" spans="17:23" ht="15.75">
      <c r="Q109" s="8">
        <v>164122</v>
      </c>
      <c r="R109" s="9" t="s">
        <v>217</v>
      </c>
      <c r="W109" s="7"/>
    </row>
    <row r="110" spans="17:23" ht="15.75">
      <c r="Q110" s="9"/>
      <c r="R110" s="7" t="s">
        <v>168</v>
      </c>
      <c r="W110" s="7"/>
    </row>
    <row r="111" spans="17:23" ht="15.75">
      <c r="Q111" s="8">
        <v>165104</v>
      </c>
      <c r="R111" s="9" t="s">
        <v>218</v>
      </c>
    </row>
    <row r="112" spans="17:23" ht="15.75">
      <c r="Q112" s="8">
        <v>165110</v>
      </c>
      <c r="R112" s="9" t="s">
        <v>219</v>
      </c>
    </row>
    <row r="113" spans="17:18" ht="15.75">
      <c r="Q113" s="8">
        <v>165113</v>
      </c>
      <c r="R113" s="9" t="s">
        <v>220</v>
      </c>
    </row>
    <row r="114" spans="17:18" ht="15.75">
      <c r="Q114" s="8">
        <v>165116</v>
      </c>
      <c r="R114" s="10" t="s">
        <v>221</v>
      </c>
    </row>
    <row r="115" spans="17:18" ht="15.75">
      <c r="Q115" s="8">
        <v>165122</v>
      </c>
      <c r="R115" s="9" t="s">
        <v>222</v>
      </c>
    </row>
    <row r="116" spans="17:18" ht="15.75">
      <c r="Q116" s="8">
        <v>165128</v>
      </c>
      <c r="R116" s="9" t="s">
        <v>223</v>
      </c>
    </row>
    <row r="117" spans="17:18" ht="15.75">
      <c r="R117" s="7" t="s">
        <v>138</v>
      </c>
    </row>
    <row r="118" spans="17:18" ht="15.75">
      <c r="Q118" s="8">
        <v>165213</v>
      </c>
      <c r="R118" s="9" t="s">
        <v>224</v>
      </c>
    </row>
    <row r="119" spans="17:18" ht="15.75">
      <c r="Q119" s="8">
        <v>165216</v>
      </c>
      <c r="R119" s="9" t="s">
        <v>225</v>
      </c>
    </row>
    <row r="120" spans="17:18" ht="15.75">
      <c r="Q120" s="8">
        <v>165219</v>
      </c>
      <c r="R120" s="9" t="s">
        <v>226</v>
      </c>
    </row>
    <row r="121" spans="17:18" ht="15.75">
      <c r="Q121" s="8">
        <v>165225</v>
      </c>
      <c r="R121" s="9" t="s">
        <v>227</v>
      </c>
    </row>
    <row r="122" spans="17:18" ht="15.75">
      <c r="R122" s="7" t="s">
        <v>121</v>
      </c>
    </row>
    <row r="123" spans="17:18" ht="15.75">
      <c r="Q123" s="8">
        <v>169207</v>
      </c>
      <c r="R123" s="9" t="s">
        <v>228</v>
      </c>
    </row>
    <row r="124" spans="17:18" ht="15.75">
      <c r="R124" s="7" t="s">
        <v>198</v>
      </c>
    </row>
    <row r="125" spans="17:18" ht="15.75">
      <c r="Q125" s="8">
        <v>169413</v>
      </c>
      <c r="R125" s="9" t="s">
        <v>229</v>
      </c>
    </row>
    <row r="126" spans="17:18" ht="15.75">
      <c r="R126" s="7" t="s">
        <v>201</v>
      </c>
    </row>
    <row r="127" spans="17:18" ht="15.75">
      <c r="Q127" s="8">
        <v>167607</v>
      </c>
      <c r="R127" s="9" t="s">
        <v>230</v>
      </c>
    </row>
    <row r="128" spans="17:18" ht="15.75">
      <c r="Q128" s="8">
        <v>167616</v>
      </c>
      <c r="R128" s="9" t="s">
        <v>231</v>
      </c>
    </row>
    <row r="129" spans="17:18" ht="15.75">
      <c r="Q129" s="8">
        <v>167619</v>
      </c>
      <c r="R129" s="9" t="s">
        <v>232</v>
      </c>
    </row>
    <row r="130" spans="17:18" ht="15.75">
      <c r="Q130" s="8">
        <v>167622</v>
      </c>
      <c r="R130" s="10" t="s">
        <v>233</v>
      </c>
    </row>
    <row r="131" spans="17:18" ht="15.75">
      <c r="Q131" s="8">
        <v>167625</v>
      </c>
      <c r="R131" s="9" t="s">
        <v>234</v>
      </c>
    </row>
    <row r="132" spans="17:18" ht="15.75">
      <c r="Q132" s="8">
        <v>167628</v>
      </c>
      <c r="R132" s="10" t="s">
        <v>235</v>
      </c>
    </row>
    <row r="133" spans="17:18" ht="15.75">
      <c r="R133" s="7" t="s">
        <v>202</v>
      </c>
    </row>
    <row r="134" spans="17:18" ht="15.75">
      <c r="Q134" s="8">
        <v>165307</v>
      </c>
      <c r="R134" s="9" t="s">
        <v>236</v>
      </c>
    </row>
    <row r="135" spans="17:18" ht="15.75">
      <c r="Q135" s="8">
        <v>165310</v>
      </c>
      <c r="R135" s="9" t="s">
        <v>237</v>
      </c>
    </row>
    <row r="136" spans="17:18" ht="15.75">
      <c r="Q136" s="6"/>
      <c r="R136" s="7" t="s">
        <v>238</v>
      </c>
    </row>
    <row r="137" spans="17:18" ht="15.75">
      <c r="Q137" s="8">
        <v>162204</v>
      </c>
      <c r="R137" s="9" t="s">
        <v>239</v>
      </c>
    </row>
    <row r="138" spans="17:18" ht="15.75">
      <c r="Q138" s="8">
        <v>162207</v>
      </c>
      <c r="R138" s="9" t="s">
        <v>240</v>
      </c>
    </row>
    <row r="139" spans="17:18" ht="15.75">
      <c r="Q139" s="8">
        <v>162210</v>
      </c>
      <c r="R139" s="9" t="s">
        <v>241</v>
      </c>
    </row>
    <row r="140" spans="17:18" ht="15.75">
      <c r="Q140" s="8">
        <v>162213</v>
      </c>
      <c r="R140" s="9" t="s">
        <v>242</v>
      </c>
    </row>
    <row r="141" spans="17:18" ht="15.75">
      <c r="R141" s="7" t="s">
        <v>203</v>
      </c>
    </row>
    <row r="142" spans="17:18" ht="15.75">
      <c r="Q142" s="8">
        <v>162310</v>
      </c>
      <c r="R142" s="9" t="s">
        <v>243</v>
      </c>
    </row>
    <row r="143" spans="17:18" ht="15.75">
      <c r="Q143" s="8">
        <v>162313</v>
      </c>
      <c r="R143" s="9" t="s">
        <v>244</v>
      </c>
    </row>
    <row r="144" spans="17:18" ht="15.75">
      <c r="Q144" s="8">
        <v>162316</v>
      </c>
      <c r="R144" s="9" t="s">
        <v>245</v>
      </c>
    </row>
    <row r="145" spans="17:18" ht="15.75">
      <c r="R145" s="7" t="s">
        <v>206</v>
      </c>
    </row>
    <row r="146" spans="17:18" ht="15.75">
      <c r="Q146" s="8">
        <v>162410</v>
      </c>
      <c r="R146" s="9" t="s">
        <v>246</v>
      </c>
    </row>
    <row r="147" spans="17:18" ht="15.75">
      <c r="Q147" s="8">
        <v>162413</v>
      </c>
      <c r="R147" s="10" t="s">
        <v>247</v>
      </c>
    </row>
    <row r="148" spans="17:18" ht="15.75">
      <c r="Q148" s="8">
        <v>162416</v>
      </c>
      <c r="R148" s="9" t="s">
        <v>248</v>
      </c>
    </row>
    <row r="149" spans="17:18" ht="15.75">
      <c r="Q149" s="8">
        <v>162419</v>
      </c>
      <c r="R149" s="9" t="s">
        <v>249</v>
      </c>
    </row>
    <row r="150" spans="17:18" ht="15.75">
      <c r="Q150" s="8">
        <v>162422</v>
      </c>
      <c r="R150" s="9" t="s">
        <v>250</v>
      </c>
    </row>
    <row r="151" spans="17:18" ht="15.75">
      <c r="Q151" s="6"/>
      <c r="R151" s="7" t="s">
        <v>200</v>
      </c>
    </row>
    <row r="152" spans="17:18" ht="15.75">
      <c r="Q152" s="8">
        <v>165404</v>
      </c>
      <c r="R152" s="9" t="s">
        <v>251</v>
      </c>
    </row>
    <row r="153" spans="17:18" ht="15.75">
      <c r="Q153" s="6"/>
      <c r="R153" s="7" t="s">
        <v>252</v>
      </c>
    </row>
    <row r="154" spans="17:18" ht="15.75">
      <c r="Q154" s="8">
        <v>162604</v>
      </c>
      <c r="R154" s="9" t="s">
        <v>252</v>
      </c>
    </row>
    <row r="155" spans="17:18" ht="15.75">
      <c r="Q155" s="8">
        <v>162607</v>
      </c>
      <c r="R155" s="9" t="s">
        <v>253</v>
      </c>
    </row>
    <row r="156" spans="17:18" ht="15.75">
      <c r="R156" s="7" t="s">
        <v>207</v>
      </c>
    </row>
    <row r="157" spans="17:18" ht="15.75">
      <c r="Q157" s="8">
        <v>167107</v>
      </c>
      <c r="R157" s="9" t="s">
        <v>254</v>
      </c>
    </row>
    <row r="158" spans="17:18" ht="15.75">
      <c r="Q158" s="8">
        <v>167110</v>
      </c>
      <c r="R158" s="9" t="s">
        <v>255</v>
      </c>
    </row>
    <row r="159" spans="17:18" ht="15.75">
      <c r="Q159" s="8">
        <v>167113</v>
      </c>
      <c r="R159" s="9" t="s">
        <v>256</v>
      </c>
    </row>
    <row r="160" spans="17:18" ht="15.75">
      <c r="Q160" s="8">
        <v>167116</v>
      </c>
      <c r="R160" s="9" t="s">
        <v>257</v>
      </c>
    </row>
    <row r="161" spans="17:18" ht="15.75">
      <c r="Q161" s="8">
        <v>167119</v>
      </c>
      <c r="R161" s="9" t="s">
        <v>258</v>
      </c>
    </row>
    <row r="162" spans="17:18" ht="15.75">
      <c r="Q162" s="8">
        <v>167122</v>
      </c>
      <c r="R162" s="9" t="s">
        <v>259</v>
      </c>
    </row>
    <row r="163" spans="17:18" ht="15.75">
      <c r="Q163" s="8">
        <v>167125</v>
      </c>
      <c r="R163" s="9" t="s">
        <v>260</v>
      </c>
    </row>
    <row r="164" spans="17:18" ht="15.75">
      <c r="Q164" s="8">
        <v>167128</v>
      </c>
      <c r="R164" s="9" t="s">
        <v>261</v>
      </c>
    </row>
    <row r="165" spans="17:18" ht="15.75">
      <c r="Q165" s="8">
        <v>167131</v>
      </c>
      <c r="R165" s="9" t="s">
        <v>262</v>
      </c>
    </row>
    <row r="166" spans="17:18" ht="15.75">
      <c r="Q166" s="8">
        <v>167134</v>
      </c>
      <c r="R166" s="9" t="s">
        <v>263</v>
      </c>
    </row>
    <row r="167" spans="17:18" ht="15.75">
      <c r="Q167" s="8">
        <v>167137</v>
      </c>
      <c r="R167" s="9" t="s">
        <v>264</v>
      </c>
    </row>
    <row r="168" spans="17:18" ht="15.75">
      <c r="Q168" s="8">
        <v>167143</v>
      </c>
      <c r="R168" s="9" t="s">
        <v>265</v>
      </c>
    </row>
    <row r="169" spans="17:18" ht="15.75">
      <c r="Q169" s="8">
        <v>167146</v>
      </c>
      <c r="R169" s="9" t="s">
        <v>266</v>
      </c>
    </row>
    <row r="170" spans="17:18" ht="15.75">
      <c r="Q170" s="8">
        <v>167149</v>
      </c>
      <c r="R170" s="9" t="s">
        <v>267</v>
      </c>
    </row>
    <row r="171" spans="17:18" ht="15.75">
      <c r="Q171" s="8">
        <v>167152</v>
      </c>
      <c r="R171" s="9" t="s">
        <v>268</v>
      </c>
    </row>
    <row r="172" spans="17:18" ht="15.75">
      <c r="Q172" s="8">
        <v>167155</v>
      </c>
      <c r="R172" s="9" t="s">
        <v>269</v>
      </c>
    </row>
    <row r="173" spans="17:18" ht="15.75">
      <c r="Q173" s="8">
        <v>167158</v>
      </c>
      <c r="R173" s="9" t="s">
        <v>270</v>
      </c>
    </row>
    <row r="174" spans="17:18" ht="15.75">
      <c r="Q174" s="8">
        <v>167164</v>
      </c>
      <c r="R174" s="9" t="s">
        <v>271</v>
      </c>
    </row>
    <row r="175" spans="17:18" ht="15.75">
      <c r="Q175" s="8">
        <v>167170</v>
      </c>
      <c r="R175" s="9" t="s">
        <v>272</v>
      </c>
    </row>
    <row r="176" spans="17:18" ht="15.75">
      <c r="Q176" s="8">
        <v>167173</v>
      </c>
      <c r="R176" s="9" t="s">
        <v>273</v>
      </c>
    </row>
    <row r="177" spans="17:18" ht="15.75">
      <c r="Q177" s="8">
        <v>167176</v>
      </c>
      <c r="R177" s="9" t="s">
        <v>274</v>
      </c>
    </row>
    <row r="178" spans="17:18" ht="15.75">
      <c r="Q178" s="8">
        <v>167179</v>
      </c>
      <c r="R178" s="9" t="s">
        <v>275</v>
      </c>
    </row>
    <row r="179" spans="17:18" ht="15.75">
      <c r="Q179" s="8">
        <v>167182</v>
      </c>
      <c r="R179" s="9" t="s">
        <v>276</v>
      </c>
    </row>
    <row r="180" spans="17:18" ht="15.75">
      <c r="Q180" s="8">
        <v>167304</v>
      </c>
      <c r="R180" s="9" t="s">
        <v>277</v>
      </c>
    </row>
    <row r="181" spans="17:18" ht="15.75">
      <c r="Q181" s="8">
        <v>167307</v>
      </c>
      <c r="R181" s="9" t="s">
        <v>278</v>
      </c>
    </row>
    <row r="182" spans="17:18" ht="15.75">
      <c r="Q182" s="8">
        <v>167310</v>
      </c>
      <c r="R182" s="9" t="s">
        <v>279</v>
      </c>
    </row>
    <row r="183" spans="17:18" ht="15.75">
      <c r="Q183" s="8">
        <v>167313</v>
      </c>
      <c r="R183" s="9" t="s">
        <v>280</v>
      </c>
    </row>
    <row r="184" spans="17:18" ht="15.75">
      <c r="Q184" s="8">
        <v>167404</v>
      </c>
      <c r="R184" s="9" t="s">
        <v>281</v>
      </c>
    </row>
    <row r="185" spans="17:18" ht="15.75">
      <c r="R185" s="7" t="s">
        <v>209</v>
      </c>
    </row>
    <row r="186" spans="17:18" ht="15.75">
      <c r="Q186" s="8">
        <v>169510</v>
      </c>
      <c r="R186" s="9" t="s">
        <v>282</v>
      </c>
    </row>
    <row r="187" spans="17:18" ht="15.75">
      <c r="Q187" s="8">
        <v>169513</v>
      </c>
      <c r="R187" s="9" t="s">
        <v>283</v>
      </c>
    </row>
    <row r="188" spans="17:18" ht="15.75">
      <c r="Q188" s="8">
        <v>169522</v>
      </c>
      <c r="R188" s="9" t="s">
        <v>284</v>
      </c>
    </row>
    <row r="189" spans="17:18" ht="15.75">
      <c r="Q189" s="8">
        <v>169528</v>
      </c>
      <c r="R189" s="9" t="s">
        <v>285</v>
      </c>
    </row>
    <row r="190" spans="17:18" ht="15.75">
      <c r="Q190" s="8">
        <v>169531</v>
      </c>
      <c r="R190" s="9" t="s">
        <v>286</v>
      </c>
    </row>
    <row r="191" spans="17:18" ht="15.75">
      <c r="Q191" s="8">
        <v>169534</v>
      </c>
      <c r="R191" s="9" t="s">
        <v>287</v>
      </c>
    </row>
  </sheetData>
  <sheetProtection sheet="1" objects="1" scenarios="1"/>
  <mergeCells count="118">
    <mergeCell ref="I61:N61"/>
    <mergeCell ref="D62:F62"/>
    <mergeCell ref="J63:N63"/>
    <mergeCell ref="I66:L66"/>
    <mergeCell ref="J67:N67"/>
    <mergeCell ref="B57:F57"/>
    <mergeCell ref="I57:N57"/>
    <mergeCell ref="B58:F58"/>
    <mergeCell ref="I58:N58"/>
    <mergeCell ref="B59:F59"/>
    <mergeCell ref="B60:F60"/>
    <mergeCell ref="I60:N60"/>
    <mergeCell ref="D50:I50"/>
    <mergeCell ref="B51:I51"/>
    <mergeCell ref="B52:D52"/>
    <mergeCell ref="B53:I53"/>
    <mergeCell ref="B54:C54"/>
    <mergeCell ref="B56:F56"/>
    <mergeCell ref="I56:N56"/>
    <mergeCell ref="E46:H46"/>
    <mergeCell ref="L46:M46"/>
    <mergeCell ref="E47:H47"/>
    <mergeCell ref="L47:M47"/>
    <mergeCell ref="C48:I48"/>
    <mergeCell ref="E49:F49"/>
    <mergeCell ref="G49:I49"/>
    <mergeCell ref="J49:K49"/>
    <mergeCell ref="E43:H43"/>
    <mergeCell ref="L43:M43"/>
    <mergeCell ref="E44:H44"/>
    <mergeCell ref="L44:M44"/>
    <mergeCell ref="E45:H45"/>
    <mergeCell ref="L45:M45"/>
    <mergeCell ref="C39:N39"/>
    <mergeCell ref="E40:H40"/>
    <mergeCell ref="L40:M40"/>
    <mergeCell ref="E41:H41"/>
    <mergeCell ref="L41:M41"/>
    <mergeCell ref="E42:H42"/>
    <mergeCell ref="L42:M42"/>
    <mergeCell ref="E35:F35"/>
    <mergeCell ref="G35:H35"/>
    <mergeCell ref="L35:M35"/>
    <mergeCell ref="C36:I36"/>
    <mergeCell ref="E37:F37"/>
    <mergeCell ref="G37:I37"/>
    <mergeCell ref="J37:K37"/>
    <mergeCell ref="E33:F33"/>
    <mergeCell ref="G33:H33"/>
    <mergeCell ref="L33:M33"/>
    <mergeCell ref="E34:F34"/>
    <mergeCell ref="G34:H34"/>
    <mergeCell ref="L34:M34"/>
    <mergeCell ref="E31:F31"/>
    <mergeCell ref="G31:H31"/>
    <mergeCell ref="L31:M31"/>
    <mergeCell ref="E32:F32"/>
    <mergeCell ref="G32:H32"/>
    <mergeCell ref="L32:M32"/>
    <mergeCell ref="C27:I27"/>
    <mergeCell ref="E28:F28"/>
    <mergeCell ref="G28:I28"/>
    <mergeCell ref="J28:K28"/>
    <mergeCell ref="J29:N29"/>
    <mergeCell ref="C30:N30"/>
    <mergeCell ref="G17:H17"/>
    <mergeCell ref="L17:M17"/>
    <mergeCell ref="G14:H14"/>
    <mergeCell ref="L14:M14"/>
    <mergeCell ref="G15:H15"/>
    <mergeCell ref="L15:M15"/>
    <mergeCell ref="G25:H25"/>
    <mergeCell ref="L25:M25"/>
    <mergeCell ref="G26:H26"/>
    <mergeCell ref="L26:M26"/>
    <mergeCell ref="G23:H23"/>
    <mergeCell ref="L23:M23"/>
    <mergeCell ref="G24:H24"/>
    <mergeCell ref="L24:M24"/>
    <mergeCell ref="G18:H18"/>
    <mergeCell ref="L18:M18"/>
    <mergeCell ref="C19:I19"/>
    <mergeCell ref="E20:F20"/>
    <mergeCell ref="G20:I20"/>
    <mergeCell ref="J20:K20"/>
    <mergeCell ref="G13:H13"/>
    <mergeCell ref="L13:M13"/>
    <mergeCell ref="G7:J7"/>
    <mergeCell ref="K7:L8"/>
    <mergeCell ref="M7:N8"/>
    <mergeCell ref="G8:J8"/>
    <mergeCell ref="G9:J9"/>
    <mergeCell ref="G16:H16"/>
    <mergeCell ref="L16:M16"/>
    <mergeCell ref="Q5:AA5"/>
    <mergeCell ref="C6:F10"/>
    <mergeCell ref="G6:J6"/>
    <mergeCell ref="K6:L6"/>
    <mergeCell ref="M6:N6"/>
    <mergeCell ref="I5:J5"/>
    <mergeCell ref="K5:L5"/>
    <mergeCell ref="E1:J2"/>
    <mergeCell ref="K1:N1"/>
    <mergeCell ref="B3:C3"/>
    <mergeCell ref="D3:J3"/>
    <mergeCell ref="K3:N3"/>
    <mergeCell ref="K9:L10"/>
    <mergeCell ref="M9:N10"/>
    <mergeCell ref="G10:H10"/>
    <mergeCell ref="B5:B12"/>
    <mergeCell ref="C5:F5"/>
    <mergeCell ref="B4:C4"/>
    <mergeCell ref="D4:F4"/>
    <mergeCell ref="G4:N4"/>
    <mergeCell ref="M5:N5"/>
    <mergeCell ref="C11:N11"/>
    <mergeCell ref="G12:H12"/>
    <mergeCell ref="L12:M12"/>
  </mergeCells>
  <conditionalFormatting sqref="D3:J3">
    <cfRule type="expression" dxfId="39" priority="70" stopIfTrue="1">
      <formula>$D$3=""</formula>
    </cfRule>
  </conditionalFormatting>
  <conditionalFormatting sqref="C6:F10">
    <cfRule type="expression" dxfId="38" priority="69" stopIfTrue="1">
      <formula>AND(OR($D$4&lt;&gt;"",$I$5&lt;&gt;""),$C$6="")</formula>
    </cfRule>
  </conditionalFormatting>
  <conditionalFormatting sqref="D4:F4">
    <cfRule type="expression" dxfId="37" priority="68" stopIfTrue="1">
      <formula>AND($D$3&lt;&gt;"",$D$4="",$I$5="")</formula>
    </cfRule>
  </conditionalFormatting>
  <conditionalFormatting sqref="I5:J5">
    <cfRule type="expression" dxfId="36" priority="67" stopIfTrue="1">
      <formula>AND($D$3&lt;&gt;"",$I$5="",$D$4="")</formula>
    </cfRule>
  </conditionalFormatting>
  <conditionalFormatting sqref="E20:F20">
    <cfRule type="expression" dxfId="35" priority="66" stopIfTrue="1">
      <formula>AND($J19&gt;0,E20="")</formula>
    </cfRule>
  </conditionalFormatting>
  <conditionalFormatting sqref="J20:K20">
    <cfRule type="expression" dxfId="34" priority="65" stopIfTrue="1">
      <formula>AND($J19&gt;0,J20="")</formula>
    </cfRule>
  </conditionalFormatting>
  <conditionalFormatting sqref="E28:F28">
    <cfRule type="expression" dxfId="33" priority="64" stopIfTrue="1">
      <formula>AND($J27&gt;0,E28="")</formula>
    </cfRule>
  </conditionalFormatting>
  <conditionalFormatting sqref="J28:K28">
    <cfRule type="expression" dxfId="32" priority="63" stopIfTrue="1">
      <formula>AND($J27&gt;0,J28="")</formula>
    </cfRule>
  </conditionalFormatting>
  <conditionalFormatting sqref="E37">
    <cfRule type="expression" dxfId="31" priority="62" stopIfTrue="1">
      <formula>AND($J36&gt;0,E37="")</formula>
    </cfRule>
  </conditionalFormatting>
  <conditionalFormatting sqref="J37:K37">
    <cfRule type="expression" dxfId="30" priority="61" stopIfTrue="1">
      <formula>AND($J36&gt;0,J37="")</formula>
    </cfRule>
  </conditionalFormatting>
  <conditionalFormatting sqref="E49:F49">
    <cfRule type="expression" dxfId="29" priority="60" stopIfTrue="1">
      <formula>AND($J48&gt;0,E49="")</formula>
    </cfRule>
  </conditionalFormatting>
  <conditionalFormatting sqref="J49:K49">
    <cfRule type="expression" dxfId="28" priority="59" stopIfTrue="1">
      <formula>AND($J48&gt;0,J49="")</formula>
    </cfRule>
  </conditionalFormatting>
  <conditionalFormatting sqref="C14">
    <cfRule type="expression" dxfId="27" priority="57" stopIfTrue="1">
      <formula>AND($J14&lt;&gt;"",C14="")</formula>
    </cfRule>
  </conditionalFormatting>
  <conditionalFormatting sqref="D24:D26 D32:D35 D14:D18 D42:D47">
    <cfRule type="expression" dxfId="26" priority="56" stopIfTrue="1">
      <formula>AND(OR($J14&lt;&gt;"",$C14&lt;&gt;""),D14="")</formula>
    </cfRule>
  </conditionalFormatting>
  <conditionalFormatting sqref="F14:F18">
    <cfRule type="expression" dxfId="25" priority="55" stopIfTrue="1">
      <formula>AND($J14&lt;&gt;"",F14="")</formula>
    </cfRule>
  </conditionalFormatting>
  <conditionalFormatting sqref="C15:C18">
    <cfRule type="expression" dxfId="24" priority="54" stopIfTrue="1">
      <formula>AND($J15&lt;&gt;"",C15="")</formula>
    </cfRule>
  </conditionalFormatting>
  <conditionalFormatting sqref="C24">
    <cfRule type="expression" dxfId="23" priority="53" stopIfTrue="1">
      <formula>AND($J24&lt;&gt;"",C24="")</formula>
    </cfRule>
  </conditionalFormatting>
  <conditionalFormatting sqref="C25:C26">
    <cfRule type="expression" dxfId="22" priority="50" stopIfTrue="1">
      <formula>AND($J25&lt;&gt;"",C25="")</formula>
    </cfRule>
  </conditionalFormatting>
  <conditionalFormatting sqref="C32">
    <cfRule type="expression" dxfId="21" priority="47" stopIfTrue="1">
      <formula>AND($J32&lt;&gt;"",C32="")</formula>
    </cfRule>
  </conditionalFormatting>
  <conditionalFormatting sqref="C33:C35">
    <cfRule type="expression" dxfId="20" priority="43" stopIfTrue="1">
      <formula>AND($J33&lt;&gt;"",C33="")</formula>
    </cfRule>
  </conditionalFormatting>
  <conditionalFormatting sqref="C42:C47">
    <cfRule type="expression" dxfId="19" priority="36" stopIfTrue="1">
      <formula>AND($J42&lt;&gt;"",C42="")</formula>
    </cfRule>
  </conditionalFormatting>
  <conditionalFormatting sqref="G13:H18">
    <cfRule type="expression" dxfId="18" priority="33" stopIfTrue="1">
      <formula>AND(OR($J13&lt;&gt;"",$F13&lt;&gt;""),G13="",OR($D13="Rail",$D13="Air Travel"))</formula>
    </cfRule>
  </conditionalFormatting>
  <conditionalFormatting sqref="G7:J7">
    <cfRule type="expression" dxfId="17" priority="32" stopIfTrue="1">
      <formula>AND($I$5&lt;&gt;"",G7="")</formula>
    </cfRule>
  </conditionalFormatting>
  <conditionalFormatting sqref="G8:J8">
    <cfRule type="expression" dxfId="16" priority="31" stopIfTrue="1">
      <formula>AND($I$5&lt;&gt;"",G8="")</formula>
    </cfRule>
  </conditionalFormatting>
  <conditionalFormatting sqref="J10">
    <cfRule type="expression" dxfId="15" priority="30" stopIfTrue="1">
      <formula>AND($I$5&lt;&gt;"",$J$10="")</formula>
    </cfRule>
  </conditionalFormatting>
  <conditionalFormatting sqref="M5:N5">
    <cfRule type="expression" dxfId="14" priority="29" stopIfTrue="1">
      <formula>AND($I$5&lt;&gt;"",M5="")</formula>
    </cfRule>
  </conditionalFormatting>
  <conditionalFormatting sqref="M6:N6">
    <cfRule type="expression" dxfId="13" priority="28" stopIfTrue="1">
      <formula>AND($I$5&lt;&gt;"",M6="")</formula>
    </cfRule>
  </conditionalFormatting>
  <conditionalFormatting sqref="M7">
    <cfRule type="expression" dxfId="12" priority="27" stopIfTrue="1">
      <formula>AND($I$5&lt;&gt;"",M7="")</formula>
    </cfRule>
  </conditionalFormatting>
  <conditionalFormatting sqref="M9">
    <cfRule type="expression" dxfId="11" priority="26" stopIfTrue="1">
      <formula>AND($I$5&lt;&gt;"",M9="")</formula>
    </cfRule>
  </conditionalFormatting>
  <conditionalFormatting sqref="J13:J18">
    <cfRule type="expression" dxfId="10" priority="25" stopIfTrue="1">
      <formula>AND(OR(I13&lt;&gt;"",$F13&lt;&gt;""),J13="")</formula>
    </cfRule>
  </conditionalFormatting>
  <conditionalFormatting sqref="C41">
    <cfRule type="expression" dxfId="9" priority="17" stopIfTrue="1">
      <formula>AND($J13&lt;&gt;"",C41="")</formula>
    </cfRule>
  </conditionalFormatting>
  <conditionalFormatting sqref="F13:F18 F24:F26">
    <cfRule type="expression" dxfId="8" priority="15" stopIfTrue="1">
      <formula>AND($F13="",OR($J13&lt;&gt;"",$D13&lt;&gt;""))</formula>
    </cfRule>
  </conditionalFormatting>
  <conditionalFormatting sqref="G24:H26">
    <cfRule type="expression" dxfId="7" priority="6" stopIfTrue="1">
      <formula>AND(OR($J24&lt;&gt;"",$F24&lt;&gt;""),$G24="")</formula>
    </cfRule>
  </conditionalFormatting>
  <conditionalFormatting sqref="G32:H35">
    <cfRule type="expression" dxfId="6" priority="5" stopIfTrue="1">
      <formula>AND(OR($E32&lt;&gt;"",$J32&lt;&gt;""),$G32="")</formula>
    </cfRule>
  </conditionalFormatting>
  <conditionalFormatting sqref="J32:J35">
    <cfRule type="expression" dxfId="5" priority="4" stopIfTrue="1">
      <formula>AND(OR($G32&lt;&gt;"",$I32&lt;&gt;""),$J32="")</formula>
    </cfRule>
  </conditionalFormatting>
  <conditionalFormatting sqref="J41:J47">
    <cfRule type="expression" dxfId="4" priority="3" stopIfTrue="1">
      <formula>AND(OR($I41&lt;&gt;"",$E41&lt;&gt;""),$J41="")</formula>
    </cfRule>
  </conditionalFormatting>
  <conditionalFormatting sqref="E32:F35 E41:H47">
    <cfRule type="expression" dxfId="3" priority="2" stopIfTrue="1">
      <formula>AND(OR($D32&lt;&gt;"",$J32&lt;&gt;""),$E32="")</formula>
    </cfRule>
  </conditionalFormatting>
  <conditionalFormatting sqref="D41:D47">
    <cfRule type="expression" dxfId="2" priority="1" stopIfTrue="1">
      <formula>LEFT($D41,1)="↓"</formula>
    </cfRule>
  </conditionalFormatting>
  <conditionalFormatting sqref="D13">
    <cfRule type="expression" dxfId="1" priority="72" stopIfTrue="1">
      <formula>AND(OR($J13&lt;&gt;"",$C41&lt;&gt;""),D13="")</formula>
    </cfRule>
  </conditionalFormatting>
  <conditionalFormatting sqref="D41">
    <cfRule type="expression" dxfId="0" priority="74" stopIfTrue="1">
      <formula>AND(OR($J41&lt;&gt;"",#REF!&lt;&gt;""),D41="")</formula>
    </cfRule>
  </conditionalFormatting>
  <dataValidations count="2">
    <dataValidation type="list" allowBlank="1" showInputMessage="1" showErrorMessage="1" sqref="D41:D47" xr:uid="{00000000-0002-0000-0000-000000000000}">
      <formula1>$X$19:$X$65</formula1>
    </dataValidation>
    <dataValidation type="list" allowBlank="1" showInputMessage="1" showErrorMessage="1" sqref="D13:D18" xr:uid="{00000000-0002-0000-0000-000001000000}">
      <formula1>$X$12:$X$17</formula1>
    </dataValidation>
  </dataValidations>
  <printOptions horizontalCentered="1" verticalCentered="1"/>
  <pageMargins left="0.23622047244094491" right="0.23622047244094491" top="0.34" bottom="0.27559055118110237" header="0.31496062992125984" footer="0.31496062992125984"/>
  <pageSetup paperSize="9" scale="6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10</xdr:col>
                    <xdr:colOff>228600</xdr:colOff>
                    <xdr:row>11</xdr:row>
                    <xdr:rowOff>428625</xdr:rowOff>
                  </from>
                  <to>
                    <xdr:col>10</xdr:col>
                    <xdr:colOff>533400</xdr:colOff>
                    <xdr:row>13</xdr:row>
                    <xdr:rowOff>19050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10</xdr:col>
                    <xdr:colOff>228600</xdr:colOff>
                    <xdr:row>12</xdr:row>
                    <xdr:rowOff>180975</xdr:rowOff>
                  </from>
                  <to>
                    <xdr:col>10</xdr:col>
                    <xdr:colOff>619125</xdr:colOff>
                    <xdr:row>14</xdr:row>
                    <xdr:rowOff>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10</xdr:col>
                    <xdr:colOff>228600</xdr:colOff>
                    <xdr:row>15</xdr:row>
                    <xdr:rowOff>180975</xdr:rowOff>
                  </from>
                  <to>
                    <xdr:col>10</xdr:col>
                    <xdr:colOff>533400</xdr:colOff>
                    <xdr:row>17</xdr:row>
                    <xdr:rowOff>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10</xdr:col>
                    <xdr:colOff>228600</xdr:colOff>
                    <xdr:row>16</xdr:row>
                    <xdr:rowOff>180975</xdr:rowOff>
                  </from>
                  <to>
                    <xdr:col>10</xdr:col>
                    <xdr:colOff>533400</xdr:colOff>
                    <xdr:row>18</xdr:row>
                    <xdr:rowOff>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10</xdr:col>
                    <xdr:colOff>228600</xdr:colOff>
                    <xdr:row>13</xdr:row>
                    <xdr:rowOff>180975</xdr:rowOff>
                  </from>
                  <to>
                    <xdr:col>10</xdr:col>
                    <xdr:colOff>619125</xdr:colOff>
                    <xdr:row>15</xdr:row>
                    <xdr:rowOff>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10</xdr:col>
                    <xdr:colOff>228600</xdr:colOff>
                    <xdr:row>14</xdr:row>
                    <xdr:rowOff>180975</xdr:rowOff>
                  </from>
                  <to>
                    <xdr:col>10</xdr:col>
                    <xdr:colOff>619125</xdr:colOff>
                    <xdr:row>16</xdr:row>
                    <xdr:rowOff>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10</xdr:col>
                    <xdr:colOff>238125</xdr:colOff>
                    <xdr:row>22</xdr:row>
                    <xdr:rowOff>400050</xdr:rowOff>
                  </from>
                  <to>
                    <xdr:col>10</xdr:col>
                    <xdr:colOff>542925</xdr:colOff>
                    <xdr:row>24</xdr:row>
                    <xdr:rowOff>9525</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10</xdr:col>
                    <xdr:colOff>238125</xdr:colOff>
                    <xdr:row>23</xdr:row>
                    <xdr:rowOff>180975</xdr:rowOff>
                  </from>
                  <to>
                    <xdr:col>10</xdr:col>
                    <xdr:colOff>628650</xdr:colOff>
                    <xdr:row>25</xdr:row>
                    <xdr:rowOff>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10</xdr:col>
                    <xdr:colOff>228600</xdr:colOff>
                    <xdr:row>24</xdr:row>
                    <xdr:rowOff>180975</xdr:rowOff>
                  </from>
                  <to>
                    <xdr:col>10</xdr:col>
                    <xdr:colOff>619125</xdr:colOff>
                    <xdr:row>26</xdr:row>
                    <xdr:rowOff>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10</xdr:col>
                    <xdr:colOff>228600</xdr:colOff>
                    <xdr:row>30</xdr:row>
                    <xdr:rowOff>438150</xdr:rowOff>
                  </from>
                  <to>
                    <xdr:col>10</xdr:col>
                    <xdr:colOff>533400</xdr:colOff>
                    <xdr:row>32</xdr:row>
                    <xdr:rowOff>9525</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10</xdr:col>
                    <xdr:colOff>228600</xdr:colOff>
                    <xdr:row>31</xdr:row>
                    <xdr:rowOff>180975</xdr:rowOff>
                  </from>
                  <to>
                    <xdr:col>10</xdr:col>
                    <xdr:colOff>619125</xdr:colOff>
                    <xdr:row>33</xdr:row>
                    <xdr:rowOff>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10</xdr:col>
                    <xdr:colOff>228600</xdr:colOff>
                    <xdr:row>32</xdr:row>
                    <xdr:rowOff>180975</xdr:rowOff>
                  </from>
                  <to>
                    <xdr:col>10</xdr:col>
                    <xdr:colOff>619125</xdr:colOff>
                    <xdr:row>34</xdr:row>
                    <xdr:rowOff>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10</xdr:col>
                    <xdr:colOff>228600</xdr:colOff>
                    <xdr:row>33</xdr:row>
                    <xdr:rowOff>180975</xdr:rowOff>
                  </from>
                  <to>
                    <xdr:col>10</xdr:col>
                    <xdr:colOff>619125</xdr:colOff>
                    <xdr:row>35</xdr:row>
                    <xdr:rowOff>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10</xdr:col>
                    <xdr:colOff>238125</xdr:colOff>
                    <xdr:row>39</xdr:row>
                    <xdr:rowOff>400050</xdr:rowOff>
                  </from>
                  <to>
                    <xdr:col>10</xdr:col>
                    <xdr:colOff>542925</xdr:colOff>
                    <xdr:row>40</xdr:row>
                    <xdr:rowOff>190500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10</xdr:col>
                    <xdr:colOff>238125</xdr:colOff>
                    <xdr:row>40</xdr:row>
                    <xdr:rowOff>180975</xdr:rowOff>
                  </from>
                  <to>
                    <xdr:col>10</xdr:col>
                    <xdr:colOff>628650</xdr:colOff>
                    <xdr:row>42</xdr:row>
                    <xdr:rowOff>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10</xdr:col>
                    <xdr:colOff>238125</xdr:colOff>
                    <xdr:row>44</xdr:row>
                    <xdr:rowOff>180975</xdr:rowOff>
                  </from>
                  <to>
                    <xdr:col>10</xdr:col>
                    <xdr:colOff>628650</xdr:colOff>
                    <xdr:row>46</xdr:row>
                    <xdr:rowOff>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10</xdr:col>
                    <xdr:colOff>238125</xdr:colOff>
                    <xdr:row>45</xdr:row>
                    <xdr:rowOff>180975</xdr:rowOff>
                  </from>
                  <to>
                    <xdr:col>10</xdr:col>
                    <xdr:colOff>628650</xdr:colOff>
                    <xdr:row>47</xdr:row>
                    <xdr:rowOff>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10</xdr:col>
                    <xdr:colOff>238125</xdr:colOff>
                    <xdr:row>42</xdr:row>
                    <xdr:rowOff>171450</xdr:rowOff>
                  </from>
                  <to>
                    <xdr:col>10</xdr:col>
                    <xdr:colOff>628650</xdr:colOff>
                    <xdr:row>43</xdr:row>
                    <xdr:rowOff>190500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10</xdr:col>
                    <xdr:colOff>238125</xdr:colOff>
                    <xdr:row>41</xdr:row>
                    <xdr:rowOff>171450</xdr:rowOff>
                  </from>
                  <to>
                    <xdr:col>10</xdr:col>
                    <xdr:colOff>628650</xdr:colOff>
                    <xdr:row>42</xdr:row>
                    <xdr:rowOff>190500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10</xdr:col>
                    <xdr:colOff>238125</xdr:colOff>
                    <xdr:row>43</xdr:row>
                    <xdr:rowOff>180975</xdr:rowOff>
                  </from>
                  <to>
                    <xdr:col>10</xdr:col>
                    <xdr:colOff>628650</xdr:colOff>
                    <xdr:row>45</xdr:row>
                    <xdr:rowOff>0</xdr:rowOff>
                  </to>
                </anchor>
              </controlPr>
            </control>
          </mc:Choice>
        </mc:AlternateContent>
        <mc:AlternateContent xmlns:mc="http://schemas.openxmlformats.org/markup-compatibility/2006">
          <mc:Choice Requires="x14">
            <control shapeId="4133" r:id="rId24" name="Check Box 37">
              <controlPr defaultSize="0" autoFill="0" autoLine="0" autoPict="0">
                <anchor moveWithCells="1">
                  <from>
                    <xdr:col>3</xdr:col>
                    <xdr:colOff>1171575</xdr:colOff>
                    <xdr:row>11</xdr:row>
                    <xdr:rowOff>438150</xdr:rowOff>
                  </from>
                  <to>
                    <xdr:col>5</xdr:col>
                    <xdr:colOff>114300</xdr:colOff>
                    <xdr:row>13</xdr:row>
                    <xdr:rowOff>9525</xdr:rowOff>
                  </to>
                </anchor>
              </controlPr>
            </control>
          </mc:Choice>
        </mc:AlternateContent>
        <mc:AlternateContent xmlns:mc="http://schemas.openxmlformats.org/markup-compatibility/2006">
          <mc:Choice Requires="x14">
            <control shapeId="4134" r:id="rId25" name="Check Box 38">
              <controlPr defaultSize="0" autoFill="0" autoLine="0" autoPict="0">
                <anchor moveWithCells="1">
                  <from>
                    <xdr:col>3</xdr:col>
                    <xdr:colOff>1171575</xdr:colOff>
                    <xdr:row>24</xdr:row>
                    <xdr:rowOff>190500</xdr:rowOff>
                  </from>
                  <to>
                    <xdr:col>5</xdr:col>
                    <xdr:colOff>114300</xdr:colOff>
                    <xdr:row>26</xdr:row>
                    <xdr:rowOff>9525</xdr:rowOff>
                  </to>
                </anchor>
              </controlPr>
            </control>
          </mc:Choice>
        </mc:AlternateContent>
        <mc:AlternateContent xmlns:mc="http://schemas.openxmlformats.org/markup-compatibility/2006">
          <mc:Choice Requires="x14">
            <control shapeId="4135" r:id="rId26" name="Check Box 39">
              <controlPr defaultSize="0" autoFill="0" autoLine="0" autoPict="0">
                <anchor moveWithCells="1">
                  <from>
                    <xdr:col>3</xdr:col>
                    <xdr:colOff>1171575</xdr:colOff>
                    <xdr:row>12</xdr:row>
                    <xdr:rowOff>180975</xdr:rowOff>
                  </from>
                  <to>
                    <xdr:col>5</xdr:col>
                    <xdr:colOff>114300</xdr:colOff>
                    <xdr:row>14</xdr:row>
                    <xdr:rowOff>0</xdr:rowOff>
                  </to>
                </anchor>
              </controlPr>
            </control>
          </mc:Choice>
        </mc:AlternateContent>
        <mc:AlternateContent xmlns:mc="http://schemas.openxmlformats.org/markup-compatibility/2006">
          <mc:Choice Requires="x14">
            <control shapeId="4136" r:id="rId27" name="Check Box 40">
              <controlPr defaultSize="0" autoFill="0" autoLine="0" autoPict="0">
                <anchor moveWithCells="1">
                  <from>
                    <xdr:col>3</xdr:col>
                    <xdr:colOff>1171575</xdr:colOff>
                    <xdr:row>13</xdr:row>
                    <xdr:rowOff>180975</xdr:rowOff>
                  </from>
                  <to>
                    <xdr:col>5</xdr:col>
                    <xdr:colOff>114300</xdr:colOff>
                    <xdr:row>15</xdr:row>
                    <xdr:rowOff>0</xdr:rowOff>
                  </to>
                </anchor>
              </controlPr>
            </control>
          </mc:Choice>
        </mc:AlternateContent>
        <mc:AlternateContent xmlns:mc="http://schemas.openxmlformats.org/markup-compatibility/2006">
          <mc:Choice Requires="x14">
            <control shapeId="4137" r:id="rId28" name="Check Box 41">
              <controlPr defaultSize="0" autoFill="0" autoLine="0" autoPict="0">
                <anchor moveWithCells="1">
                  <from>
                    <xdr:col>3</xdr:col>
                    <xdr:colOff>1171575</xdr:colOff>
                    <xdr:row>14</xdr:row>
                    <xdr:rowOff>180975</xdr:rowOff>
                  </from>
                  <to>
                    <xdr:col>5</xdr:col>
                    <xdr:colOff>114300</xdr:colOff>
                    <xdr:row>16</xdr:row>
                    <xdr:rowOff>0</xdr:rowOff>
                  </to>
                </anchor>
              </controlPr>
            </control>
          </mc:Choice>
        </mc:AlternateContent>
        <mc:AlternateContent xmlns:mc="http://schemas.openxmlformats.org/markup-compatibility/2006">
          <mc:Choice Requires="x14">
            <control shapeId="4138" r:id="rId29" name="Check Box 42">
              <controlPr defaultSize="0" autoFill="0" autoLine="0" autoPict="0">
                <anchor moveWithCells="1">
                  <from>
                    <xdr:col>3</xdr:col>
                    <xdr:colOff>1171575</xdr:colOff>
                    <xdr:row>15</xdr:row>
                    <xdr:rowOff>190500</xdr:rowOff>
                  </from>
                  <to>
                    <xdr:col>5</xdr:col>
                    <xdr:colOff>114300</xdr:colOff>
                    <xdr:row>17</xdr:row>
                    <xdr:rowOff>9525</xdr:rowOff>
                  </to>
                </anchor>
              </controlPr>
            </control>
          </mc:Choice>
        </mc:AlternateContent>
        <mc:AlternateContent xmlns:mc="http://schemas.openxmlformats.org/markup-compatibility/2006">
          <mc:Choice Requires="x14">
            <control shapeId="4139" r:id="rId30" name="Check Box 43">
              <controlPr defaultSize="0" autoFill="0" autoLine="0" autoPict="0">
                <anchor moveWithCells="1">
                  <from>
                    <xdr:col>3</xdr:col>
                    <xdr:colOff>1171575</xdr:colOff>
                    <xdr:row>16</xdr:row>
                    <xdr:rowOff>180975</xdr:rowOff>
                  </from>
                  <to>
                    <xdr:col>5</xdr:col>
                    <xdr:colOff>114300</xdr:colOff>
                    <xdr:row>18</xdr:row>
                    <xdr:rowOff>0</xdr:rowOff>
                  </to>
                </anchor>
              </controlPr>
            </control>
          </mc:Choice>
        </mc:AlternateContent>
        <mc:AlternateContent xmlns:mc="http://schemas.openxmlformats.org/markup-compatibility/2006">
          <mc:Choice Requires="x14">
            <control shapeId="4140" r:id="rId31" name="Check Box 44">
              <controlPr defaultSize="0" autoFill="0" autoLine="0" autoPict="0">
                <anchor moveWithCells="1">
                  <from>
                    <xdr:col>3</xdr:col>
                    <xdr:colOff>1171575</xdr:colOff>
                    <xdr:row>22</xdr:row>
                    <xdr:rowOff>400050</xdr:rowOff>
                  </from>
                  <to>
                    <xdr:col>5</xdr:col>
                    <xdr:colOff>114300</xdr:colOff>
                    <xdr:row>24</xdr:row>
                    <xdr:rowOff>9525</xdr:rowOff>
                  </to>
                </anchor>
              </controlPr>
            </control>
          </mc:Choice>
        </mc:AlternateContent>
        <mc:AlternateContent xmlns:mc="http://schemas.openxmlformats.org/markup-compatibility/2006">
          <mc:Choice Requires="x14">
            <control shapeId="4141" r:id="rId32" name="Check Box 45">
              <controlPr defaultSize="0" autoFill="0" autoLine="0" autoPict="0">
                <anchor moveWithCells="1">
                  <from>
                    <xdr:col>3</xdr:col>
                    <xdr:colOff>1171575</xdr:colOff>
                    <xdr:row>23</xdr:row>
                    <xdr:rowOff>180975</xdr:rowOff>
                  </from>
                  <to>
                    <xdr:col>5</xdr:col>
                    <xdr:colOff>114300</xdr:colOff>
                    <xdr:row>25</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D47F867E844E43831FAC78CB0CC787" ma:contentTypeVersion="0" ma:contentTypeDescription="Create a new document." ma:contentTypeScope="" ma:versionID="44115cba42b023911fff914e0c91c146">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Props1.xml><?xml version="1.0" encoding="utf-8"?>
<ds:datastoreItem xmlns:ds="http://schemas.openxmlformats.org/officeDocument/2006/customXml" ds:itemID="{B9E6CD02-73A3-4922-8D5B-44EEB97D7B92}"/>
</file>

<file path=customXml/itemProps2.xml><?xml version="1.0" encoding="utf-8"?>
<ds:datastoreItem xmlns:ds="http://schemas.openxmlformats.org/officeDocument/2006/customXml" ds:itemID="{E4282F0E-A3FD-4389-A902-8614282ADC99}"/>
</file>

<file path=customXml/itemProps3.xml><?xml version="1.0" encoding="utf-8"?>
<ds:datastoreItem xmlns:ds="http://schemas.openxmlformats.org/officeDocument/2006/customXml" ds:itemID="{780BCFF5-D736-4A2B-8F89-DD05CD9840B4}"/>
</file>

<file path=docProps/app.xml><?xml version="1.0" encoding="utf-8"?>
<Properties xmlns="http://schemas.openxmlformats.org/officeDocument/2006/extended-properties" xmlns:vt="http://schemas.openxmlformats.org/officeDocument/2006/docPropsVTypes">
  <Application>Microsoft Excel Online</Application>
  <Manager/>
  <Company>Imperial College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Shemilt</dc:creator>
  <cp:keywords/>
  <dc:description/>
  <cp:lastModifiedBy>Stark, Samuel</cp:lastModifiedBy>
  <cp:revision/>
  <dcterms:created xsi:type="dcterms:W3CDTF">2009-04-06T12:27:44Z</dcterms:created>
  <dcterms:modified xsi:type="dcterms:W3CDTF">2021-10-04T21:13:30Z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ies>
</file>